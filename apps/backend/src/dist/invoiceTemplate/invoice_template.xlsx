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0" yWindow="0" windowWidth="28800" windowHeight="13725"/>
  </bookViews>
  <sheets>
    <sheet name="Template" sheetId="1" r:id="rId1"/>
  </sheets>
  <calcPr calcId="152511"/>
</workbook>
</file>

<file path=xl/calcChain.xml><?xml version="1.0" encoding="utf-8"?>
<calcChain xmlns="http://schemas.openxmlformats.org/spreadsheetml/2006/main">
  <c r="AS101" i="1" l="1"/>
  <c r="AM101" i="1"/>
  <c r="AL101" i="1"/>
  <c r="AK101" i="1"/>
  <c r="AJ101" i="1"/>
  <c r="AE101" i="1"/>
  <c r="AC101" i="1"/>
  <c r="V101" i="1"/>
  <c r="AS100" i="1"/>
  <c r="AM100" i="1"/>
  <c r="AL100" i="1"/>
  <c r="AK100" i="1"/>
  <c r="AJ100" i="1"/>
  <c r="AE100" i="1"/>
  <c r="AC100" i="1"/>
  <c r="V100" i="1"/>
  <c r="AS99" i="1"/>
  <c r="AM99" i="1"/>
  <c r="AL99" i="1"/>
  <c r="AK99" i="1"/>
  <c r="AJ99" i="1"/>
  <c r="AE99" i="1"/>
  <c r="AC99" i="1"/>
  <c r="V99" i="1"/>
  <c r="AS98" i="1"/>
  <c r="AM98" i="1"/>
  <c r="AL98" i="1"/>
  <c r="AK98" i="1"/>
  <c r="AJ98" i="1"/>
  <c r="AE98" i="1"/>
  <c r="AC98" i="1"/>
  <c r="V98" i="1"/>
  <c r="AS97" i="1"/>
  <c r="AM97" i="1"/>
  <c r="AL97" i="1"/>
  <c r="AK97" i="1"/>
  <c r="AJ97" i="1"/>
  <c r="AE97" i="1"/>
  <c r="AC97" i="1"/>
  <c r="V97" i="1"/>
  <c r="AS96" i="1"/>
  <c r="AM96" i="1"/>
  <c r="AL96" i="1"/>
  <c r="AK96" i="1"/>
  <c r="AJ96" i="1"/>
  <c r="AE96" i="1"/>
  <c r="AC96" i="1"/>
  <c r="V96" i="1"/>
  <c r="AS95" i="1"/>
  <c r="AM95" i="1"/>
  <c r="AL95" i="1"/>
  <c r="AK95" i="1"/>
  <c r="AJ95" i="1"/>
  <c r="AE95" i="1"/>
  <c r="AC95" i="1"/>
  <c r="V95" i="1"/>
  <c r="AS94" i="1"/>
  <c r="AM94" i="1"/>
  <c r="AL94" i="1"/>
  <c r="AK94" i="1"/>
  <c r="AJ94" i="1"/>
  <c r="AE94" i="1"/>
  <c r="AC94" i="1"/>
  <c r="V94" i="1"/>
  <c r="AS93" i="1"/>
  <c r="AM93" i="1"/>
  <c r="AL93" i="1"/>
  <c r="AK93" i="1"/>
  <c r="AJ93" i="1"/>
  <c r="AE93" i="1"/>
  <c r="AC93" i="1"/>
  <c r="V93" i="1"/>
  <c r="AS92" i="1"/>
  <c r="AM92" i="1"/>
  <c r="AL92" i="1"/>
  <c r="AK92" i="1"/>
  <c r="AJ92" i="1"/>
  <c r="AE92" i="1"/>
  <c r="AC92" i="1"/>
  <c r="V92" i="1"/>
  <c r="AS91" i="1"/>
  <c r="AM91" i="1"/>
  <c r="AL91" i="1"/>
  <c r="AK91" i="1"/>
  <c r="AJ91" i="1"/>
  <c r="AE91" i="1"/>
  <c r="AC91" i="1"/>
  <c r="V91" i="1"/>
  <c r="AS90" i="1"/>
  <c r="AM90" i="1"/>
  <c r="AL90" i="1"/>
  <c r="AK90" i="1"/>
  <c r="AJ90" i="1"/>
  <c r="AE90" i="1"/>
  <c r="AC90" i="1"/>
  <c r="V90" i="1"/>
  <c r="AS89" i="1"/>
  <c r="AM89" i="1"/>
  <c r="AL89" i="1"/>
  <c r="AK89" i="1"/>
  <c r="AJ89" i="1"/>
  <c r="AE89" i="1"/>
  <c r="AC89" i="1"/>
  <c r="V89" i="1"/>
  <c r="AS88" i="1"/>
  <c r="AM88" i="1"/>
  <c r="AL88" i="1"/>
  <c r="AK88" i="1"/>
  <c r="AJ88" i="1"/>
  <c r="AE88" i="1"/>
  <c r="AC88" i="1"/>
  <c r="V88" i="1"/>
  <c r="AS87" i="1"/>
  <c r="AM87" i="1"/>
  <c r="AL87" i="1"/>
  <c r="AK87" i="1"/>
  <c r="AJ87" i="1"/>
  <c r="AE87" i="1"/>
  <c r="AC87" i="1"/>
  <c r="V87" i="1"/>
  <c r="AS86" i="1"/>
  <c r="AM86" i="1"/>
  <c r="AL86" i="1"/>
  <c r="AK86" i="1"/>
  <c r="AJ86" i="1"/>
  <c r="AE86" i="1"/>
  <c r="AC86" i="1"/>
  <c r="V86" i="1"/>
  <c r="AS85" i="1"/>
  <c r="AM85" i="1"/>
  <c r="AL85" i="1"/>
  <c r="AK85" i="1"/>
  <c r="AJ85" i="1"/>
  <c r="AE85" i="1"/>
  <c r="AC85" i="1"/>
  <c r="V85" i="1"/>
  <c r="AS84" i="1"/>
  <c r="AM84" i="1"/>
  <c r="AL84" i="1"/>
  <c r="AK84" i="1"/>
  <c r="AJ84" i="1"/>
  <c r="AE84" i="1"/>
  <c r="AC84" i="1"/>
  <c r="V84" i="1"/>
  <c r="AS83" i="1"/>
  <c r="AM83" i="1"/>
  <c r="AL83" i="1"/>
  <c r="AK83" i="1"/>
  <c r="AJ83" i="1"/>
  <c r="AE83" i="1"/>
  <c r="AC83" i="1"/>
  <c r="V83" i="1"/>
  <c r="AS82" i="1"/>
  <c r="AM82" i="1"/>
  <c r="AL82" i="1"/>
  <c r="AK82" i="1"/>
  <c r="AJ82" i="1"/>
  <c r="AE82" i="1"/>
  <c r="AC82" i="1"/>
  <c r="V82" i="1"/>
  <c r="AS81" i="1"/>
  <c r="AM81" i="1"/>
  <c r="AL81" i="1"/>
  <c r="AK81" i="1"/>
  <c r="AJ81" i="1"/>
  <c r="AE81" i="1"/>
  <c r="AC81" i="1"/>
  <c r="V81" i="1"/>
  <c r="AS80" i="1"/>
  <c r="AM80" i="1"/>
  <c r="AL80" i="1"/>
  <c r="AK80" i="1"/>
  <c r="AJ80" i="1"/>
  <c r="AE80" i="1"/>
  <c r="AC80" i="1"/>
  <c r="V80" i="1"/>
  <c r="AS79" i="1"/>
  <c r="AM79" i="1"/>
  <c r="AL79" i="1"/>
  <c r="AK79" i="1"/>
  <c r="AJ79" i="1"/>
  <c r="AE79" i="1"/>
  <c r="AC79" i="1"/>
  <c r="V79" i="1"/>
  <c r="AS78" i="1"/>
  <c r="AM78" i="1"/>
  <c r="AL78" i="1"/>
  <c r="AK78" i="1"/>
  <c r="AJ78" i="1"/>
  <c r="AE78" i="1"/>
  <c r="AC78" i="1"/>
  <c r="V78" i="1"/>
  <c r="AS77" i="1"/>
  <c r="AM77" i="1"/>
  <c r="AL77" i="1"/>
  <c r="AK77" i="1"/>
  <c r="AJ77" i="1"/>
  <c r="AE77" i="1"/>
  <c r="AC77" i="1"/>
  <c r="V77" i="1"/>
  <c r="AS76" i="1"/>
  <c r="AM76" i="1"/>
  <c r="AL76" i="1"/>
  <c r="AK76" i="1"/>
  <c r="AJ76" i="1"/>
  <c r="AE76" i="1"/>
  <c r="AC76" i="1"/>
  <c r="V76" i="1"/>
  <c r="AS75" i="1"/>
  <c r="AM75" i="1"/>
  <c r="AL75" i="1"/>
  <c r="AK75" i="1"/>
  <c r="AJ75" i="1"/>
  <c r="AE75" i="1"/>
  <c r="AC75" i="1"/>
  <c r="V75" i="1"/>
  <c r="AS74" i="1"/>
  <c r="AM74" i="1"/>
  <c r="AL74" i="1"/>
  <c r="AK74" i="1"/>
  <c r="AJ74" i="1"/>
  <c r="AE74" i="1"/>
  <c r="AC74" i="1"/>
  <c r="V74" i="1"/>
  <c r="AS73" i="1"/>
  <c r="AM73" i="1"/>
  <c r="AL73" i="1"/>
  <c r="AK73" i="1"/>
  <c r="AJ73" i="1"/>
  <c r="AE73" i="1"/>
  <c r="AC73" i="1"/>
  <c r="V73" i="1"/>
  <c r="AS72" i="1"/>
  <c r="AM72" i="1"/>
  <c r="AL72" i="1"/>
  <c r="AK72" i="1"/>
  <c r="AJ72" i="1"/>
  <c r="AE72" i="1"/>
  <c r="AC72" i="1"/>
  <c r="V72" i="1"/>
  <c r="AS71" i="1"/>
  <c r="AM71" i="1"/>
  <c r="AL71" i="1"/>
  <c r="AK71" i="1"/>
  <c r="AJ71" i="1"/>
  <c r="AE71" i="1"/>
  <c r="AC71" i="1"/>
  <c r="V71" i="1"/>
  <c r="AS70" i="1"/>
  <c r="AM70" i="1"/>
  <c r="AL70" i="1"/>
  <c r="AK70" i="1"/>
  <c r="AJ70" i="1"/>
  <c r="AE70" i="1"/>
  <c r="AC70" i="1"/>
  <c r="V70" i="1"/>
  <c r="AS69" i="1"/>
  <c r="AM69" i="1"/>
  <c r="AL69" i="1"/>
  <c r="AK69" i="1"/>
  <c r="AJ69" i="1"/>
  <c r="AE69" i="1"/>
  <c r="AC69" i="1"/>
  <c r="V69" i="1"/>
  <c r="AS68" i="1"/>
  <c r="AM68" i="1"/>
  <c r="AL68" i="1"/>
  <c r="AK68" i="1"/>
  <c r="AJ68" i="1"/>
  <c r="AE68" i="1"/>
  <c r="AC68" i="1"/>
  <c r="V68" i="1"/>
  <c r="AS67" i="1"/>
  <c r="AM67" i="1"/>
  <c r="AL67" i="1"/>
  <c r="AK67" i="1"/>
  <c r="AJ67" i="1"/>
  <c r="AE67" i="1"/>
  <c r="AC67" i="1"/>
  <c r="V67" i="1"/>
  <c r="AS66" i="1"/>
  <c r="AM66" i="1"/>
  <c r="AL66" i="1"/>
  <c r="AK66" i="1"/>
  <c r="AJ66" i="1"/>
  <c r="AE66" i="1"/>
  <c r="AC66" i="1"/>
  <c r="V66" i="1"/>
  <c r="AS65" i="1"/>
  <c r="AM65" i="1"/>
  <c r="AL65" i="1"/>
  <c r="AK65" i="1"/>
  <c r="AJ65" i="1"/>
  <c r="AE65" i="1"/>
  <c r="AC65" i="1"/>
  <c r="V65" i="1"/>
  <c r="AS64" i="1"/>
  <c r="AM64" i="1"/>
  <c r="AL64" i="1"/>
  <c r="AK64" i="1"/>
  <c r="AJ64" i="1"/>
  <c r="AE64" i="1"/>
  <c r="AC64" i="1"/>
  <c r="V64" i="1"/>
  <c r="AS63" i="1"/>
  <c r="AM63" i="1"/>
  <c r="AL63" i="1"/>
  <c r="AK63" i="1"/>
  <c r="AJ63" i="1"/>
  <c r="AE63" i="1"/>
  <c r="AC63" i="1"/>
  <c r="V63" i="1"/>
  <c r="AS62" i="1"/>
  <c r="AM62" i="1"/>
  <c r="AL62" i="1"/>
  <c r="AK62" i="1"/>
  <c r="AJ62" i="1"/>
  <c r="AE62" i="1"/>
  <c r="AC62" i="1"/>
  <c r="V62" i="1"/>
  <c r="AS61" i="1"/>
  <c r="AM61" i="1"/>
  <c r="AL61" i="1"/>
  <c r="AK61" i="1"/>
  <c r="AJ61" i="1"/>
  <c r="AE61" i="1"/>
  <c r="AC61" i="1"/>
  <c r="V61" i="1"/>
  <c r="AS60" i="1"/>
  <c r="AM60" i="1"/>
  <c r="AL60" i="1"/>
  <c r="AK60" i="1"/>
  <c r="AJ60" i="1"/>
  <c r="AE60" i="1"/>
  <c r="AC60" i="1"/>
  <c r="V60" i="1"/>
  <c r="AS59" i="1"/>
  <c r="AM59" i="1"/>
  <c r="AL59" i="1"/>
  <c r="AK59" i="1"/>
  <c r="AJ59" i="1"/>
  <c r="AE59" i="1"/>
  <c r="AC59" i="1"/>
  <c r="V59" i="1"/>
  <c r="AS58" i="1"/>
  <c r="AM58" i="1"/>
  <c r="AL58" i="1"/>
  <c r="AK58" i="1"/>
  <c r="AJ58" i="1"/>
  <c r="AE58" i="1"/>
  <c r="AC58" i="1"/>
  <c r="V58" i="1"/>
  <c r="AS57" i="1"/>
  <c r="AM57" i="1"/>
  <c r="AL57" i="1"/>
  <c r="AK57" i="1"/>
  <c r="AJ57" i="1"/>
  <c r="AE57" i="1"/>
  <c r="AC57" i="1"/>
  <c r="V57" i="1"/>
  <c r="AS56" i="1"/>
  <c r="AM56" i="1"/>
  <c r="AL56" i="1"/>
  <c r="AK56" i="1"/>
  <c r="AJ56" i="1"/>
  <c r="AE56" i="1"/>
  <c r="AC56" i="1"/>
  <c r="V56" i="1"/>
  <c r="AS55" i="1"/>
  <c r="AM55" i="1"/>
  <c r="AL55" i="1"/>
  <c r="AK55" i="1"/>
  <c r="AJ55" i="1"/>
  <c r="AE55" i="1"/>
  <c r="AC55" i="1"/>
  <c r="V55" i="1"/>
  <c r="AS54" i="1"/>
  <c r="AM54" i="1"/>
  <c r="AL54" i="1"/>
  <c r="AK54" i="1"/>
  <c r="AJ54" i="1"/>
  <c r="AE54" i="1"/>
  <c r="AC54" i="1"/>
  <c r="V54" i="1"/>
  <c r="AS53" i="1"/>
  <c r="AM53" i="1"/>
  <c r="AL53" i="1"/>
  <c r="AK53" i="1"/>
  <c r="AJ53" i="1"/>
  <c r="AE53" i="1"/>
  <c r="AC53" i="1"/>
  <c r="V53" i="1"/>
  <c r="AS52" i="1"/>
  <c r="AM52" i="1"/>
  <c r="AL52" i="1"/>
  <c r="AK52" i="1"/>
  <c r="AJ52" i="1"/>
  <c r="AE52" i="1"/>
  <c r="AC52" i="1"/>
  <c r="V52" i="1"/>
  <c r="AS51" i="1"/>
  <c r="AM51" i="1"/>
  <c r="AL51" i="1"/>
  <c r="AK51" i="1"/>
  <c r="AJ51" i="1"/>
  <c r="AE51" i="1"/>
  <c r="AC51" i="1"/>
  <c r="V51" i="1"/>
  <c r="AS50" i="1"/>
  <c r="AM50" i="1"/>
  <c r="AL50" i="1"/>
  <c r="AK50" i="1"/>
  <c r="AJ50" i="1"/>
  <c r="AE50" i="1"/>
  <c r="AC50" i="1"/>
  <c r="V50" i="1"/>
  <c r="AS49" i="1"/>
  <c r="AM49" i="1"/>
  <c r="AL49" i="1"/>
  <c r="AK49" i="1"/>
  <c r="AJ49" i="1"/>
  <c r="AE49" i="1"/>
  <c r="AC49" i="1"/>
  <c r="V49" i="1"/>
  <c r="AS48" i="1"/>
  <c r="AM48" i="1"/>
  <c r="AL48" i="1"/>
  <c r="AK48" i="1"/>
  <c r="AJ48" i="1"/>
  <c r="AE48" i="1"/>
  <c r="AC48" i="1"/>
  <c r="V48" i="1"/>
  <c r="AS47" i="1"/>
  <c r="AM47" i="1"/>
  <c r="AL47" i="1"/>
  <c r="AK47" i="1"/>
  <c r="AJ47" i="1"/>
  <c r="AE47" i="1"/>
  <c r="AC47" i="1"/>
  <c r="V47" i="1"/>
  <c r="AS46" i="1"/>
  <c r="AM46" i="1"/>
  <c r="AL46" i="1"/>
  <c r="AK46" i="1"/>
  <c r="AJ46" i="1"/>
  <c r="AE46" i="1"/>
  <c r="AC46" i="1"/>
  <c r="V46" i="1"/>
  <c r="AS45" i="1"/>
  <c r="AM45" i="1"/>
  <c r="AL45" i="1"/>
  <c r="AK45" i="1"/>
  <c r="AJ45" i="1"/>
  <c r="AE45" i="1"/>
  <c r="AC45" i="1"/>
  <c r="V45" i="1"/>
  <c r="AS44" i="1"/>
  <c r="AM44" i="1"/>
  <c r="AL44" i="1"/>
  <c r="AK44" i="1"/>
  <c r="AJ44" i="1"/>
  <c r="AE44" i="1"/>
  <c r="AC44" i="1"/>
  <c r="V44" i="1"/>
  <c r="AS43" i="1"/>
  <c r="AM43" i="1"/>
  <c r="AL43" i="1"/>
  <c r="AK43" i="1"/>
  <c r="AJ43" i="1"/>
  <c r="AE43" i="1"/>
  <c r="AC43" i="1"/>
  <c r="V43" i="1"/>
  <c r="AS42" i="1"/>
  <c r="AM42" i="1"/>
  <c r="AL42" i="1"/>
  <c r="AK42" i="1"/>
  <c r="AJ42" i="1"/>
  <c r="AE42" i="1"/>
  <c r="AC42" i="1"/>
  <c r="V42" i="1"/>
  <c r="AS41" i="1"/>
  <c r="AM41" i="1"/>
  <c r="AL41" i="1"/>
  <c r="AK41" i="1"/>
  <c r="AJ41" i="1"/>
  <c r="AE41" i="1"/>
  <c r="AC41" i="1"/>
  <c r="V41" i="1"/>
  <c r="AS40" i="1"/>
  <c r="AM40" i="1"/>
  <c r="AL40" i="1"/>
  <c r="AK40" i="1"/>
  <c r="AJ40" i="1"/>
  <c r="AE40" i="1"/>
  <c r="AC40" i="1"/>
  <c r="V40" i="1"/>
  <c r="AS39" i="1"/>
  <c r="AM39" i="1"/>
  <c r="AL39" i="1"/>
  <c r="AK39" i="1"/>
  <c r="AJ39" i="1"/>
  <c r="AE39" i="1"/>
  <c r="AC39" i="1"/>
  <c r="V39" i="1"/>
  <c r="AS38" i="1"/>
  <c r="AM38" i="1"/>
  <c r="AL38" i="1"/>
  <c r="AK38" i="1"/>
  <c r="AJ38" i="1"/>
  <c r="AE38" i="1"/>
  <c r="AC38" i="1"/>
  <c r="V38" i="1"/>
  <c r="AS37" i="1"/>
  <c r="AM37" i="1"/>
  <c r="AL37" i="1"/>
  <c r="AK37" i="1"/>
  <c r="AJ37" i="1"/>
  <c r="AE37" i="1"/>
  <c r="AC37" i="1"/>
  <c r="V37" i="1"/>
  <c r="AS36" i="1"/>
  <c r="AM36" i="1"/>
  <c r="AL36" i="1"/>
  <c r="AK36" i="1"/>
  <c r="AJ36" i="1"/>
  <c r="AE36" i="1"/>
  <c r="AC36" i="1"/>
  <c r="V36" i="1"/>
  <c r="AS35" i="1"/>
  <c r="AM35" i="1"/>
  <c r="AL35" i="1"/>
  <c r="AK35" i="1"/>
  <c r="AJ35" i="1"/>
  <c r="AE35" i="1"/>
  <c r="AC35" i="1"/>
  <c r="V35" i="1"/>
  <c r="AS34" i="1"/>
  <c r="AM34" i="1"/>
  <c r="AL34" i="1"/>
  <c r="AK34" i="1"/>
  <c r="AJ34" i="1"/>
  <c r="AE34" i="1"/>
  <c r="AC34" i="1"/>
  <c r="V34" i="1"/>
  <c r="AS33" i="1"/>
  <c r="AM33" i="1"/>
  <c r="AL33" i="1"/>
  <c r="AK33" i="1"/>
  <c r="AJ33" i="1"/>
  <c r="AE33" i="1"/>
  <c r="AC33" i="1"/>
  <c r="V33" i="1"/>
  <c r="AS32" i="1"/>
  <c r="AM32" i="1"/>
  <c r="AL32" i="1"/>
  <c r="AK32" i="1"/>
  <c r="AJ32" i="1"/>
  <c r="AE32" i="1"/>
  <c r="AC32" i="1"/>
  <c r="V32" i="1"/>
  <c r="AS31" i="1"/>
  <c r="AM31" i="1"/>
  <c r="AL31" i="1"/>
  <c r="AK31" i="1"/>
  <c r="AJ31" i="1"/>
  <c r="AE31" i="1"/>
  <c r="AC31" i="1"/>
  <c r="V31" i="1"/>
  <c r="AS30" i="1"/>
  <c r="AM30" i="1"/>
  <c r="AL30" i="1"/>
  <c r="AK30" i="1"/>
  <c r="AJ30" i="1"/>
  <c r="AE30" i="1"/>
  <c r="AC30" i="1"/>
  <c r="V30" i="1"/>
  <c r="AS29" i="1"/>
  <c r="AM29" i="1"/>
  <c r="AL29" i="1"/>
  <c r="AK29" i="1"/>
  <c r="AJ29" i="1"/>
  <c r="AE29" i="1"/>
  <c r="AC29" i="1"/>
  <c r="V29" i="1"/>
  <c r="AS28" i="1"/>
  <c r="AM28" i="1"/>
  <c r="AL28" i="1"/>
  <c r="AK28" i="1"/>
  <c r="AJ28" i="1"/>
  <c r="AE28" i="1"/>
  <c r="AC28" i="1"/>
  <c r="V28" i="1"/>
  <c r="AS27" i="1"/>
  <c r="AM27" i="1"/>
  <c r="AL27" i="1"/>
  <c r="AK27" i="1"/>
  <c r="AJ27" i="1"/>
  <c r="AE27" i="1"/>
  <c r="AC27" i="1"/>
  <c r="V27" i="1"/>
  <c r="AS26" i="1"/>
  <c r="AM26" i="1"/>
  <c r="AL26" i="1"/>
  <c r="AK26" i="1"/>
  <c r="AJ26" i="1"/>
  <c r="AE26" i="1"/>
  <c r="AC26" i="1"/>
  <c r="V26" i="1"/>
  <c r="AS25" i="1"/>
  <c r="AM25" i="1"/>
  <c r="AL25" i="1"/>
  <c r="AK25" i="1"/>
  <c r="AJ25" i="1"/>
  <c r="AE25" i="1"/>
  <c r="AC25" i="1"/>
  <c r="V25" i="1"/>
  <c r="AS24" i="1"/>
  <c r="AM24" i="1"/>
  <c r="AL24" i="1"/>
  <c r="AK24" i="1"/>
  <c r="AJ24" i="1"/>
  <c r="AE24" i="1"/>
  <c r="AC24" i="1"/>
  <c r="V24" i="1"/>
  <c r="AS23" i="1"/>
  <c r="AM23" i="1"/>
  <c r="AL23" i="1"/>
  <c r="AK23" i="1"/>
  <c r="AJ23" i="1"/>
  <c r="AE23" i="1"/>
  <c r="AC23" i="1"/>
  <c r="V23" i="1"/>
  <c r="AS22" i="1"/>
  <c r="AM22" i="1"/>
  <c r="AL22" i="1"/>
  <c r="AK22" i="1"/>
  <c r="AJ22" i="1"/>
  <c r="AE22" i="1"/>
  <c r="AC22" i="1"/>
  <c r="V22" i="1"/>
  <c r="AS21" i="1"/>
  <c r="AM21" i="1"/>
  <c r="AL21" i="1"/>
  <c r="AK21" i="1"/>
  <c r="AJ21" i="1"/>
  <c r="AE21" i="1"/>
  <c r="AC21" i="1"/>
  <c r="V21" i="1"/>
  <c r="AS20" i="1"/>
  <c r="AM20" i="1"/>
  <c r="AL20" i="1"/>
  <c r="AK20" i="1"/>
  <c r="AJ20" i="1"/>
  <c r="AE20" i="1"/>
  <c r="AC20" i="1"/>
  <c r="V20" i="1"/>
  <c r="AS19" i="1"/>
  <c r="AM19" i="1"/>
  <c r="AL19" i="1"/>
  <c r="AK19" i="1"/>
  <c r="AJ19" i="1"/>
  <c r="AE19" i="1"/>
  <c r="AC19" i="1"/>
  <c r="V19" i="1"/>
  <c r="AS18" i="1"/>
  <c r="AM18" i="1"/>
  <c r="AL18" i="1"/>
  <c r="AK18" i="1"/>
  <c r="AJ18" i="1"/>
  <c r="AE18" i="1"/>
  <c r="AC18" i="1"/>
  <c r="V18" i="1"/>
  <c r="AS17" i="1"/>
  <c r="AM17" i="1"/>
  <c r="AL17" i="1"/>
  <c r="AK17" i="1"/>
  <c r="AJ17" i="1"/>
  <c r="AE17" i="1"/>
  <c r="AC17" i="1"/>
  <c r="V17" i="1"/>
  <c r="AS16" i="1"/>
  <c r="AM16" i="1"/>
  <c r="AL16" i="1"/>
  <c r="AK16" i="1"/>
  <c r="AJ16" i="1"/>
  <c r="AE16" i="1"/>
  <c r="AC16" i="1"/>
  <c r="V16" i="1"/>
  <c r="AS15" i="1"/>
  <c r="AM15" i="1"/>
  <c r="AL15" i="1"/>
  <c r="AK15" i="1"/>
  <c r="AJ15" i="1"/>
  <c r="AE15" i="1"/>
  <c r="AC15" i="1"/>
  <c r="V15" i="1"/>
  <c r="AS14" i="1"/>
  <c r="AM14" i="1"/>
  <c r="AL14" i="1"/>
  <c r="AK14" i="1"/>
  <c r="AJ14" i="1"/>
  <c r="AE14" i="1"/>
  <c r="AC14" i="1"/>
  <c r="V14" i="1"/>
  <c r="AS13" i="1"/>
  <c r="AM13" i="1"/>
  <c r="AL13" i="1"/>
  <c r="AK13" i="1"/>
  <c r="AJ13" i="1"/>
  <c r="AE13" i="1"/>
  <c r="AC13" i="1"/>
  <c r="V13" i="1"/>
  <c r="AS12" i="1"/>
  <c r="AM12" i="1"/>
  <c r="AL12" i="1"/>
  <c r="AK12" i="1"/>
  <c r="AJ12" i="1"/>
  <c r="AE12" i="1"/>
  <c r="AC12" i="1"/>
  <c r="V12" i="1"/>
  <c r="AS11" i="1"/>
  <c r="AM11" i="1"/>
  <c r="AL11" i="1"/>
  <c r="AK11" i="1"/>
  <c r="AJ11" i="1"/>
  <c r="AE11" i="1"/>
  <c r="AC11" i="1"/>
  <c r="V11" i="1"/>
  <c r="AS10" i="1"/>
  <c r="AM10" i="1"/>
  <c r="AL10" i="1"/>
  <c r="AK10" i="1"/>
  <c r="AJ10" i="1"/>
  <c r="AE10" i="1"/>
  <c r="AC10" i="1"/>
  <c r="V10" i="1"/>
  <c r="AS9" i="1"/>
  <c r="AM9" i="1"/>
  <c r="AL9" i="1"/>
  <c r="AK9" i="1"/>
  <c r="AJ9" i="1"/>
  <c r="AE9" i="1"/>
  <c r="AC9" i="1"/>
  <c r="V9" i="1"/>
  <c r="AS8" i="1"/>
  <c r="AM8" i="1"/>
  <c r="AL8" i="1"/>
  <c r="AK8" i="1"/>
  <c r="AJ8" i="1"/>
  <c r="AE8" i="1"/>
  <c r="AC8" i="1"/>
  <c r="V8" i="1"/>
  <c r="AS7" i="1"/>
  <c r="AM7" i="1"/>
  <c r="AL7" i="1"/>
  <c r="AK7" i="1"/>
  <c r="AJ7" i="1"/>
  <c r="AE7" i="1"/>
  <c r="AC7" i="1"/>
  <c r="V7" i="1"/>
  <c r="AS6" i="1"/>
  <c r="AM6" i="1"/>
  <c r="AL6" i="1"/>
  <c r="AK6" i="1"/>
  <c r="AJ6" i="1"/>
  <c r="AE6" i="1"/>
  <c r="AC6" i="1"/>
  <c r="V6" i="1"/>
  <c r="AS5" i="1"/>
  <c r="AM5" i="1"/>
  <c r="AL5" i="1"/>
  <c r="AK5" i="1"/>
  <c r="AJ5" i="1"/>
  <c r="AE5" i="1"/>
  <c r="AC5" i="1"/>
  <c r="V5" i="1"/>
  <c r="AS4" i="1"/>
  <c r="AM4" i="1"/>
  <c r="AL4" i="1"/>
  <c r="AK4" i="1"/>
  <c r="AJ4" i="1"/>
  <c r="AE4" i="1"/>
  <c r="AC4" i="1"/>
  <c r="V4" i="1"/>
  <c r="AS3" i="1"/>
  <c r="AM3" i="1"/>
  <c r="AL3" i="1"/>
  <c r="AK3" i="1"/>
  <c r="AJ3" i="1"/>
  <c r="AE3" i="1"/>
  <c r="AC3" i="1"/>
  <c r="V3" i="1"/>
  <c r="AL2" i="1"/>
  <c r="AK2" i="1"/>
  <c r="AJ2" i="1"/>
  <c r="AE2" i="1"/>
  <c r="AC2" i="1"/>
  <c r="V2" i="1"/>
  <c r="AM2" i="1" l="1"/>
  <c r="AS2" i="1" s="1"/>
</calcChain>
</file>

<file path=xl/sharedStrings.xml><?xml version="1.0" encoding="utf-8"?>
<sst xmlns="http://schemas.openxmlformats.org/spreadsheetml/2006/main" count="952" uniqueCount="949">
  <si>
    <t>Invoice Type</t>
  </si>
  <si>
    <t>Invoice Date</t>
  </si>
  <si>
    <t>DN Invoice Ref No</t>
  </si>
  <si>
    <t>Company Invoice Ref No</t>
  </si>
  <si>
    <t>CUST. A/C NO</t>
  </si>
  <si>
    <t>CUST. LPO NO</t>
  </si>
  <si>
    <t>LPO DATE</t>
  </si>
  <si>
    <t>DEL. NOTE NO</t>
  </si>
  <si>
    <t>SP</t>
  </si>
  <si>
    <t>PRODUCT ORIGIN</t>
  </si>
  <si>
    <t>PRODUCT CERTIFIED BY</t>
  </si>
  <si>
    <t>PAYMENT TERMS</t>
  </si>
  <si>
    <t>PAYMENT DUE</t>
  </si>
  <si>
    <t>GROUP</t>
  </si>
  <si>
    <t>BILL TO</t>
  </si>
  <si>
    <t>SHIP TO</t>
  </si>
  <si>
    <t>Buyer NTN/CNIC</t>
  </si>
  <si>
    <t>Transaction Type</t>
  </si>
  <si>
    <t>Rate</t>
  </si>
  <si>
    <t>SRO Schedule No</t>
  </si>
  <si>
    <t>SRO Item No</t>
  </si>
  <si>
    <t>Sale Type</t>
  </si>
  <si>
    <t>Unit Of Measurement for (FBR)</t>
  </si>
  <si>
    <t>Unit Of Measurement for (Internal)</t>
  </si>
  <si>
    <t>Product Name</t>
  </si>
  <si>
    <t>Product Weight</t>
  </si>
  <si>
    <t>Amount</t>
  </si>
  <si>
    <t>Discount</t>
  </si>
  <si>
    <t>Value Sales (Excl ST)</t>
  </si>
  <si>
    <t>Qty (For Internal Use)</t>
  </si>
  <si>
    <t>Quantity in KGS (For FBR)</t>
  </si>
  <si>
    <t>Item Code</t>
  </si>
  <si>
    <t>Units</t>
  </si>
  <si>
    <t>Courier Charges</t>
  </si>
  <si>
    <t>VAT</t>
  </si>
  <si>
    <t>Calculated VAT 18%</t>
  </si>
  <si>
    <t>Calculated VAT 25%</t>
  </si>
  <si>
    <t>Unit Cost</t>
  </si>
  <si>
    <t>Sales Tax Applicable</t>
  </si>
  <si>
    <t>ST Withheld at Source</t>
  </si>
  <si>
    <t>Extra Tax</t>
  </si>
  <si>
    <t>Further Tax</t>
  </si>
  <si>
    <t>FED Payable</t>
  </si>
  <si>
    <t>Advance Income Tax</t>
  </si>
  <si>
    <t>Total Values</t>
  </si>
  <si>
    <t>Sale Invoice</t>
  </si>
  <si>
    <t>BALOCHISTAN</t>
  </si>
  <si>
    <t>75 - Goods at standard rate (default)</t>
  </si>
  <si>
    <t>1000 kWh</t>
  </si>
  <si>
    <t>18%</t>
  </si>
  <si>
    <t>N/A</t>
  </si>
  <si>
    <t>Debit Note</t>
  </si>
  <si>
    <t>AZAD JAMMU AND KASHMIR</t>
  </si>
  <si>
    <t>24 - Goods at Reduced Rate</t>
  </si>
  <si>
    <t>40KG</t>
  </si>
  <si>
    <t>0.5%</t>
  </si>
  <si>
    <t>01(I)/2022</t>
  </si>
  <si>
    <t>-</t>
  </si>
  <si>
    <t>25%</t>
  </si>
  <si>
    <t>CAPITAL TERRITORY</t>
  </si>
  <si>
    <t>80 - Goods at zero-rate</t>
  </si>
  <si>
    <t>Bag</t>
  </si>
  <si>
    <t>1%</t>
  </si>
  <si>
    <t>1450(I)/2021</t>
  </si>
  <si>
    <t>1</t>
  </si>
  <si>
    <t>KHYBER PAKHTUNKHWA</t>
  </si>
  <si>
    <t>85 - Petroleum Products</t>
  </si>
  <si>
    <t>Barrels</t>
  </si>
  <si>
    <t>1.5%</t>
  </si>
  <si>
    <t>1579(1)/2021</t>
  </si>
  <si>
    <t>1(A)</t>
  </si>
  <si>
    <t>PUNJAB</t>
  </si>
  <si>
    <t>62 - Electricity Supply to Retailers</t>
  </si>
  <si>
    <t>Bill of lading</t>
  </si>
  <si>
    <t>2%</t>
  </si>
  <si>
    <t>1604(I)/2021</t>
  </si>
  <si>
    <t>1(B)</t>
  </si>
  <si>
    <t>SINDH</t>
  </si>
  <si>
    <t>129 - SIM</t>
  </si>
  <si>
    <t>Carat</t>
  </si>
  <si>
    <t>3%</t>
  </si>
  <si>
    <t>297(I)/2023-Table-I</t>
  </si>
  <si>
    <t>1(E)</t>
  </si>
  <si>
    <t>GILGIT BALTISTAN</t>
  </si>
  <si>
    <t>77 - Gas to CNG stations</t>
  </si>
  <si>
    <t>Cubic Metre</t>
  </si>
  <si>
    <t>4.5%</t>
  </si>
  <si>
    <t>297(I)/2023-Table-II</t>
  </si>
  <si>
    <t>1(F)</t>
  </si>
  <si>
    <t>122 - Mobile Phones</t>
  </si>
  <si>
    <t>Dozen</t>
  </si>
  <si>
    <t>5%</t>
  </si>
  <si>
    <t>321(I)/2022</t>
  </si>
  <si>
    <t>1(G)</t>
  </si>
  <si>
    <t>25 - Processing/Conversion of Goods</t>
  </si>
  <si>
    <t>Foot</t>
  </si>
  <si>
    <t>7%</t>
  </si>
  <si>
    <t>327(I)/2008</t>
  </si>
  <si>
    <t>1(a)</t>
  </si>
  <si>
    <t xml:space="preserve">23 -  3rd Schedule Goods </t>
  </si>
  <si>
    <t>Gallon</t>
  </si>
  <si>
    <t>7.5%</t>
  </si>
  <si>
    <t>581(1)/2024</t>
  </si>
  <si>
    <t>1(b)</t>
  </si>
  <si>
    <t>21 - Goods (FED in ST Mode)</t>
  </si>
  <si>
    <t>Gram</t>
  </si>
  <si>
    <t>8%</t>
  </si>
  <si>
    <t>587(I)/2017</t>
  </si>
  <si>
    <t>1(i)</t>
  </si>
  <si>
    <t xml:space="preserve">22 -  Services (FED in ST Mode) </t>
  </si>
  <si>
    <t>KG</t>
  </si>
  <si>
    <t>8.5%</t>
  </si>
  <si>
    <t>6th Schd Table I</t>
  </si>
  <si>
    <t>1(i)(a)</t>
  </si>
  <si>
    <t xml:space="preserve">18 -  Services </t>
  </si>
  <si>
    <t>KWH</t>
  </si>
  <si>
    <t>10%</t>
  </si>
  <si>
    <t>6th Schd Table II</t>
  </si>
  <si>
    <t>1(i)(b)</t>
  </si>
  <si>
    <t>81 - Exempt goods</t>
  </si>
  <si>
    <t>Kilogram</t>
  </si>
  <si>
    <t>12%</t>
  </si>
  <si>
    <t>6th Schd Table III</t>
  </si>
  <si>
    <t>1(i)(i)</t>
  </si>
  <si>
    <t>82 - DTRE goods</t>
  </si>
  <si>
    <t>Liter</t>
  </si>
  <si>
    <t>12.5%</t>
  </si>
  <si>
    <t>88(I)/2022</t>
  </si>
  <si>
    <t>1(ii)</t>
  </si>
  <si>
    <t>130 - Cotton ginners</t>
  </si>
  <si>
    <t>MMBTU</t>
  </si>
  <si>
    <t>12.75%</t>
  </si>
  <si>
    <t>EIGHTH SCHEDULE Table 1</t>
  </si>
  <si>
    <t>1(ii)(a)</t>
  </si>
  <si>
    <t>132 - Electric Vehicle</t>
  </si>
  <si>
    <t>MT</t>
  </si>
  <si>
    <t>13%</t>
  </si>
  <si>
    <t>EIGHTH SCHEDULE Table 2</t>
  </si>
  <si>
    <t>1(ii)(b)</t>
  </si>
  <si>
    <t>134 - Cement /Concrete Block</t>
  </si>
  <si>
    <t>Mega Watt</t>
  </si>
  <si>
    <t>14%</t>
  </si>
  <si>
    <t>Eighth Schedule Table 1</t>
  </si>
  <si>
    <t>1(ii)(ii)(a)</t>
  </si>
  <si>
    <t>84 - Telecommunication services</t>
  </si>
  <si>
    <t>Meter</t>
  </si>
  <si>
    <t>15%</t>
  </si>
  <si>
    <t>FIFTH SCHEDULE</t>
  </si>
  <si>
    <t>1(ii)(ii)(b)</t>
  </si>
  <si>
    <t>123 - Steel melting and re-rolling</t>
  </si>
  <si>
    <t>NO</t>
  </si>
  <si>
    <t>17%</t>
  </si>
  <si>
    <t>ICTO</t>
  </si>
  <si>
    <t>1(iii)</t>
  </si>
  <si>
    <t>125 - Ship breaking</t>
  </si>
  <si>
    <t>Numbers, pieces, units</t>
  </si>
  <si>
    <t>Rs.700/MT</t>
  </si>
  <si>
    <t>ICTO TABLE I</t>
  </si>
  <si>
    <t>1(iv)</t>
  </si>
  <si>
    <t>115 - Potassium Chlorate</t>
  </si>
  <si>
    <t>Others</t>
  </si>
  <si>
    <t>0%</t>
  </si>
  <si>
    <t>ICTO TABLE II</t>
  </si>
  <si>
    <t>1(v)</t>
  </si>
  <si>
    <t>178 - CNG Sales</t>
  </si>
  <si>
    <t>Packs</t>
  </si>
  <si>
    <t>Exempt</t>
  </si>
  <si>
    <t>NINTH SCHEDULE</t>
  </si>
  <si>
    <t>1(vi)</t>
  </si>
  <si>
    <t>181 - Toll Manufacturing</t>
  </si>
  <si>
    <t>Pair</t>
  </si>
  <si>
    <t>0.20%</t>
  </si>
  <si>
    <t>SECTION 49</t>
  </si>
  <si>
    <t>10</t>
  </si>
  <si>
    <t>138 - Non-Adjustable Supplies</t>
  </si>
  <si>
    <t>Pcs</t>
  </si>
  <si>
    <t>0.46%</t>
  </si>
  <si>
    <t>Section 4(b)</t>
  </si>
  <si>
    <t>100</t>
  </si>
  <si>
    <t>139 - Goods as per SRO.297(|)/2023</t>
  </si>
  <si>
    <t>Pound</t>
  </si>
  <si>
    <t>1.43%</t>
  </si>
  <si>
    <t>100A</t>
  </si>
  <si>
    <t>SET</t>
  </si>
  <si>
    <t>1.63%</t>
  </si>
  <si>
    <t>100A((i))</t>
  </si>
  <si>
    <t>SqY</t>
  </si>
  <si>
    <t>2.5%</t>
  </si>
  <si>
    <t>100A((ii))</t>
  </si>
  <si>
    <t>Square Foot</t>
  </si>
  <si>
    <t>2.70%</t>
  </si>
  <si>
    <t>100A((iii))</t>
  </si>
  <si>
    <t>Square Metre</t>
  </si>
  <si>
    <t>2.74%</t>
  </si>
  <si>
    <t>100B</t>
  </si>
  <si>
    <t>Thousand Unit</t>
  </si>
  <si>
    <t>3.67%</t>
  </si>
  <si>
    <t>100B((i))</t>
  </si>
  <si>
    <t>Timber Logs</t>
  </si>
  <si>
    <t>4.77%</t>
  </si>
  <si>
    <t>100B((ii))</t>
  </si>
  <si>
    <t>5.44%</t>
  </si>
  <si>
    <t>100B((iii))</t>
  </si>
  <si>
    <t>6.70%</t>
  </si>
  <si>
    <t>100B((iv))</t>
  </si>
  <si>
    <t>6.75%</t>
  </si>
  <si>
    <t>100B((v))</t>
  </si>
  <si>
    <t>6.84%</t>
  </si>
  <si>
    <t>100B((vi))</t>
  </si>
  <si>
    <t>7.20%</t>
  </si>
  <si>
    <t>100C</t>
  </si>
  <si>
    <t>7.37%</t>
  </si>
  <si>
    <t>101</t>
  </si>
  <si>
    <t>7.56%</t>
  </si>
  <si>
    <t>102</t>
  </si>
  <si>
    <t>8.19%</t>
  </si>
  <si>
    <t>103</t>
  </si>
  <si>
    <t>8.30%</t>
  </si>
  <si>
    <t>104</t>
  </si>
  <si>
    <t>9.08%</t>
  </si>
  <si>
    <t>104(a)</t>
  </si>
  <si>
    <t>9.15%</t>
  </si>
  <si>
    <t>104(b)</t>
  </si>
  <si>
    <t>10.07%</t>
  </si>
  <si>
    <t>104(c)</t>
  </si>
  <si>
    <t>10.32%</t>
  </si>
  <si>
    <t>104(d)</t>
  </si>
  <si>
    <t>10.54%</t>
  </si>
  <si>
    <t>104(e)</t>
  </si>
  <si>
    <t>10.77%</t>
  </si>
  <si>
    <t>104(f)</t>
  </si>
  <si>
    <t>11.64%</t>
  </si>
  <si>
    <t>104(g)</t>
  </si>
  <si>
    <t>15.44%</t>
  </si>
  <si>
    <t>104(h)</t>
  </si>
  <si>
    <t>16.40%</t>
  </si>
  <si>
    <t>105</t>
  </si>
  <si>
    <t>Rs.250</t>
  </si>
  <si>
    <t>106</t>
  </si>
  <si>
    <t>107</t>
  </si>
  <si>
    <t>18% and Rs. 80 per Liter</t>
  </si>
  <si>
    <t>108</t>
  </si>
  <si>
    <t>16%</t>
  </si>
  <si>
    <t>108(a)</t>
  </si>
  <si>
    <t>19.5%</t>
  </si>
  <si>
    <t>108(b)</t>
  </si>
  <si>
    <t>200/bill</t>
  </si>
  <si>
    <t>108(c)</t>
  </si>
  <si>
    <t>18.5%</t>
  </si>
  <si>
    <t>108(d)</t>
  </si>
  <si>
    <t>50/SqY</t>
  </si>
  <si>
    <t>108(e)</t>
  </si>
  <si>
    <t>100/SqY</t>
  </si>
  <si>
    <t>108(f)</t>
  </si>
  <si>
    <t>Rs.1000</t>
  </si>
  <si>
    <t>108(g)</t>
  </si>
  <si>
    <t>DTRE</t>
  </si>
  <si>
    <t>108(h)</t>
  </si>
  <si>
    <t>Rs.2</t>
  </si>
  <si>
    <t>108(i)</t>
  </si>
  <si>
    <t>Rs.3</t>
  </si>
  <si>
    <t>108(j)</t>
  </si>
  <si>
    <t>Rs.5</t>
  </si>
  <si>
    <t>108(k)</t>
  </si>
  <si>
    <t>Rs.10</t>
  </si>
  <si>
    <t>109</t>
  </si>
  <si>
    <t>18% along with rupees 60 per kilogram</t>
  </si>
  <si>
    <t>11</t>
  </si>
  <si>
    <t>Rs.200</t>
  </si>
  <si>
    <t>11(a)</t>
  </si>
  <si>
    <t>11(b)</t>
  </si>
  <si>
    <t>11(i)</t>
  </si>
  <si>
    <t>11(ii)</t>
  </si>
  <si>
    <t>11(iii)</t>
  </si>
  <si>
    <t>11(iv)</t>
  </si>
  <si>
    <t>11(v)</t>
  </si>
  <si>
    <t>11(vi)</t>
  </si>
  <si>
    <t>11(vii)</t>
  </si>
  <si>
    <t>11(viii)</t>
  </si>
  <si>
    <t>110</t>
  </si>
  <si>
    <t>110(a)</t>
  </si>
  <si>
    <t>110(b)</t>
  </si>
  <si>
    <t>110(c)</t>
  </si>
  <si>
    <t>110(d)</t>
  </si>
  <si>
    <t>110(e)</t>
  </si>
  <si>
    <t>110(f)</t>
  </si>
  <si>
    <t>110(g)</t>
  </si>
  <si>
    <t>110(h)</t>
  </si>
  <si>
    <t>110(i)</t>
  </si>
  <si>
    <t>110(j)</t>
  </si>
  <si>
    <t>111</t>
  </si>
  <si>
    <t>112</t>
  </si>
  <si>
    <t>112A</t>
  </si>
  <si>
    <t>112A(i)</t>
  </si>
  <si>
    <t>112A(ii)</t>
  </si>
  <si>
    <t>112A(iii)</t>
  </si>
  <si>
    <t>112A(iv)</t>
  </si>
  <si>
    <t>112A(ix)</t>
  </si>
  <si>
    <t>112A(v)</t>
  </si>
  <si>
    <t>112A(vi)</t>
  </si>
  <si>
    <t>112A(vii)</t>
  </si>
  <si>
    <t>112A(viii)</t>
  </si>
  <si>
    <t>112A(x)</t>
  </si>
  <si>
    <t/>
  </si>
  <si>
    <t>112A(xi)</t>
  </si>
  <si>
    <t>112A(xii)</t>
  </si>
  <si>
    <t>INSTRUCTIONS:</t>
  </si>
  <si>
    <t>112A(xiii)</t>
  </si>
  <si>
    <t>1. This Excel template includes automatic calculations and dropdown validations.</t>
  </si>
  <si>
    <t>112A(xiv)</t>
  </si>
  <si>
    <t>2. Fill in the required fields: Invoice Type, Invoice Date, Company Invoice Ref No, Buyer NTN/CNIC.</t>
  </si>
  <si>
    <t>112A(xix)</t>
  </si>
  <si>
    <t>3. Select Transaction Type from the dropdown list - Sales Type will auto-populate.</t>
  </si>
  <si>
    <t>112A(xv)</t>
  </si>
  <si>
    <t>4. Enter Product Name, HS Code, Quantity, and Value Sales (Excl. ST).</t>
  </si>
  <si>
    <t>112A(xvi)</t>
  </si>
  <si>
    <t>5. Select Rate, SRO Schedule No, SRO Item No, and UoM from dropdown lists.</t>
  </si>
  <si>
    <t>112A(xvii)</t>
  </si>
  <si>
    <t>6. Unit Price auto-calculates as Value Sales (Excl. ST) ÷ Quantity.</t>
  </si>
  <si>
    <t>112A(xviii)</t>
  </si>
  <si>
    <t>7. Sales Tax Applicable auto-calculates: Value Sales (Excl. ST) × (Rate ÷ 100).</t>
  </si>
  <si>
    <t>112A(xx)</t>
  </si>
  <si>
    <t>8. Total Values auto-calculates: (Value Excl. ST + Sales Tax + FED + ST W/H + Further Tax + Extra Tax) minus Discount.</t>
  </si>
  <si>
    <t>112A(xxi)</t>
  </si>
  <si>
    <t>9. Extra Tax, Further Tax, FED Payable, and Discount are optional fields.</t>
  </si>
  <si>
    <t>112A(xxii)</t>
  </si>
  <si>
    <t>10. All dropdown lists contain values from the FBR API system.</t>
  </si>
  <si>
    <t>112A(xxiii)</t>
  </si>
  <si>
    <t>11. For best results, save the file as .xlsx format before uploading.</t>
  </si>
  <si>
    <t>112A(xxiv)</t>
  </si>
  <si>
    <t>112A(xxv)</t>
  </si>
  <si>
    <t>112B</t>
  </si>
  <si>
    <t>112B(i)</t>
  </si>
  <si>
    <t>112B(ii)</t>
  </si>
  <si>
    <t>112B(iii)</t>
  </si>
  <si>
    <t>112B(iv)</t>
  </si>
  <si>
    <t>112B(v)</t>
  </si>
  <si>
    <t>112B(vi)</t>
  </si>
  <si>
    <t>112B(vii)</t>
  </si>
  <si>
    <t>112C</t>
  </si>
  <si>
    <t>112C(i)</t>
  </si>
  <si>
    <t>112C(ii)</t>
  </si>
  <si>
    <t>112C(iii)</t>
  </si>
  <si>
    <t>112C(iv)</t>
  </si>
  <si>
    <t>112C(ix)</t>
  </si>
  <si>
    <t>112C(v)</t>
  </si>
  <si>
    <t>112C(vi)</t>
  </si>
  <si>
    <t>112C(vii)</t>
  </si>
  <si>
    <t>112C(viii)</t>
  </si>
  <si>
    <t>112C(x)</t>
  </si>
  <si>
    <t>112D</t>
  </si>
  <si>
    <t>112E</t>
  </si>
  <si>
    <t>112F</t>
  </si>
  <si>
    <t>112G</t>
  </si>
  <si>
    <t>112H</t>
  </si>
  <si>
    <t>112H(i)</t>
  </si>
  <si>
    <t>112H(ii)</t>
  </si>
  <si>
    <t>112H(iii)</t>
  </si>
  <si>
    <t>112H(iv)</t>
  </si>
  <si>
    <t>112H(ix)</t>
  </si>
  <si>
    <t>112H(v)</t>
  </si>
  <si>
    <t>112H(vi)</t>
  </si>
  <si>
    <t>112H(vii)</t>
  </si>
  <si>
    <t>112H(viii)</t>
  </si>
  <si>
    <t>112H(x)</t>
  </si>
  <si>
    <t>112H(xi)</t>
  </si>
  <si>
    <t>112I</t>
  </si>
  <si>
    <t>112I(i)</t>
  </si>
  <si>
    <t>112J</t>
  </si>
  <si>
    <t>112J(i)</t>
  </si>
  <si>
    <t>112J(ii)</t>
  </si>
  <si>
    <t>112J(iii)</t>
  </si>
  <si>
    <t>112J(iv)</t>
  </si>
  <si>
    <t>112J(ix)</t>
  </si>
  <si>
    <t>112J(v)</t>
  </si>
  <si>
    <t>112J(vi)</t>
  </si>
  <si>
    <t>112J(vii)</t>
  </si>
  <si>
    <t>112J(viii)</t>
  </si>
  <si>
    <t>112J(viii)(a)</t>
  </si>
  <si>
    <t>112J(viii)(b)</t>
  </si>
  <si>
    <t>112J(viii)(c)</t>
  </si>
  <si>
    <t>112J(x)</t>
  </si>
  <si>
    <t>112J(xi)</t>
  </si>
  <si>
    <t>112J(xii)</t>
  </si>
  <si>
    <t>112K</t>
  </si>
  <si>
    <t>112K(i)</t>
  </si>
  <si>
    <t>112K(ii)</t>
  </si>
  <si>
    <t>112K(iii)</t>
  </si>
  <si>
    <t>112K(iv)</t>
  </si>
  <si>
    <t>112K(ix)</t>
  </si>
  <si>
    <t>112K(v)</t>
  </si>
  <si>
    <t>112K(vi)</t>
  </si>
  <si>
    <t>112K(vii)</t>
  </si>
  <si>
    <t>112K(viii)</t>
  </si>
  <si>
    <t>112K(x)</t>
  </si>
  <si>
    <t>112K(xi)</t>
  </si>
  <si>
    <t>112K(xii)</t>
  </si>
  <si>
    <t>112K(xiii)</t>
  </si>
  <si>
    <t>112K(xiv)</t>
  </si>
  <si>
    <t>112K(xv)</t>
  </si>
  <si>
    <t>112K(xvi)</t>
  </si>
  <si>
    <t>112K(xvii)</t>
  </si>
  <si>
    <t>112K(xviii)</t>
  </si>
  <si>
    <t>112L</t>
  </si>
  <si>
    <t>113</t>
  </si>
  <si>
    <t>113(i)</t>
  </si>
  <si>
    <t>113(ii)</t>
  </si>
  <si>
    <t>113(iii)</t>
  </si>
  <si>
    <t>114</t>
  </si>
  <si>
    <t>114(i)</t>
  </si>
  <si>
    <t>114(ii)</t>
  </si>
  <si>
    <t>115</t>
  </si>
  <si>
    <t>116</t>
  </si>
  <si>
    <t>117</t>
  </si>
  <si>
    <t>118</t>
  </si>
  <si>
    <t>119</t>
  </si>
  <si>
    <t>12</t>
  </si>
  <si>
    <t>12(xix)</t>
  </si>
  <si>
    <t>12(xvii)</t>
  </si>
  <si>
    <t>12(xx)</t>
  </si>
  <si>
    <t>12(xxi)</t>
  </si>
  <si>
    <t>12(xxii)</t>
  </si>
  <si>
    <t>12(xxiii)</t>
  </si>
  <si>
    <t>12(xxiv)</t>
  </si>
  <si>
    <t>12(xxv)</t>
  </si>
  <si>
    <t>12(xxvi)</t>
  </si>
  <si>
    <t>12(xxvii)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</si>
  <si>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</si>
  <si>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</si>
  <si>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</si>
  <si>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</si>
  <si>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</si>
  <si>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</si>
  <si>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</si>
  <si>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</si>
  <si>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</si>
  <si>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</si>
  <si>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</si>
  <si>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</si>
  <si>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</si>
  <si>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</si>
  <si>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</si>
  <si>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</si>
  <si>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</si>
  <si>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</si>
  <si>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</si>
  <si>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</si>
  <si>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</si>
  <si>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</t>
  </si>
  <si>
    <t>14(1)</t>
  </si>
  <si>
    <t>14(1)(i)</t>
  </si>
  <si>
    <t>14(1)(ii)</t>
  </si>
  <si>
    <t>14(1)(iii)</t>
  </si>
  <si>
    <t>14(1)(iv)</t>
  </si>
  <si>
    <t>14(1)(v)</t>
  </si>
  <si>
    <t>14(1)(vi)</t>
  </si>
  <si>
    <t>14(2)</t>
  </si>
  <si>
    <t>140</t>
  </si>
  <si>
    <t>141</t>
  </si>
  <si>
    <t>142</t>
  </si>
  <si>
    <t>143</t>
  </si>
  <si>
    <t>143(i)</t>
  </si>
  <si>
    <t>143(i)(a)</t>
  </si>
  <si>
    <t>143(i)(b)</t>
  </si>
  <si>
    <t>143(i)(c)</t>
  </si>
  <si>
    <t>143(i)(d)</t>
  </si>
  <si>
    <t>144</t>
  </si>
  <si>
    <t>145</t>
  </si>
  <si>
    <t>145(i)</t>
  </si>
  <si>
    <t>145(ii)</t>
  </si>
  <si>
    <t>145(iii)</t>
  </si>
  <si>
    <t>145(iv)</t>
  </si>
  <si>
    <t>145(ix)</t>
  </si>
  <si>
    <t>145(v)</t>
  </si>
  <si>
    <t>145(vi)</t>
  </si>
  <si>
    <t>145(vii)</t>
  </si>
  <si>
    <t>145(viii)</t>
  </si>
  <si>
    <t>145(x)</t>
  </si>
  <si>
    <t>146</t>
  </si>
  <si>
    <t>146(a)</t>
  </si>
  <si>
    <t>146(b)</t>
  </si>
  <si>
    <t>146(c)</t>
  </si>
  <si>
    <t>146(d)</t>
  </si>
  <si>
    <t>146(e)</t>
  </si>
  <si>
    <t>146(f)</t>
  </si>
  <si>
    <t>146(g)</t>
  </si>
  <si>
    <t>146(h)</t>
  </si>
  <si>
    <t>146(i)</t>
  </si>
  <si>
    <t>146(j)</t>
  </si>
  <si>
    <t>147</t>
  </si>
  <si>
    <t>148</t>
  </si>
  <si>
    <t>149</t>
  </si>
  <si>
    <t>14A</t>
  </si>
  <si>
    <t>14A(10)</t>
  </si>
  <si>
    <t>14A(11)</t>
  </si>
  <si>
    <t>14A(12)</t>
  </si>
  <si>
    <t>14A(12a)</t>
  </si>
  <si>
    <t>14A(12b)</t>
  </si>
  <si>
    <t>14A(12b)(i)</t>
  </si>
  <si>
    <t>14A(12b)(ii)</t>
  </si>
  <si>
    <t>14A(12b)(iii)</t>
  </si>
  <si>
    <t>14A(12b)(iv)</t>
  </si>
  <si>
    <t>14A(12b)(v)</t>
  </si>
  <si>
    <t>14A(12b)(vi)</t>
  </si>
  <si>
    <t>14A(13)</t>
  </si>
  <si>
    <t>14A(14)</t>
  </si>
  <si>
    <t>14A(14)(i)</t>
  </si>
  <si>
    <t>14A(14)(ii)</t>
  </si>
  <si>
    <t>14A(14)(iii)</t>
  </si>
  <si>
    <t>14A(14)(iv)</t>
  </si>
  <si>
    <t>14A(14)(ix)</t>
  </si>
  <si>
    <t>14A(14)(v)</t>
  </si>
  <si>
    <t>14A(14)(vi)</t>
  </si>
  <si>
    <t>14A(14)(vii)</t>
  </si>
  <si>
    <t>14A(14)(viii)</t>
  </si>
  <si>
    <t>14A(14)(x)</t>
  </si>
  <si>
    <t>14A(1a)</t>
  </si>
  <si>
    <t>14A(1b)</t>
  </si>
  <si>
    <t>14A(1b)(i)</t>
  </si>
  <si>
    <t>14A(1b)(ii)</t>
  </si>
  <si>
    <t>14A(1b)(iii)</t>
  </si>
  <si>
    <t>14A(1b)(iv)</t>
  </si>
  <si>
    <t>14A(1b)(v)</t>
  </si>
  <si>
    <t>14A(1b)(vi)</t>
  </si>
  <si>
    <t>14A(2a)</t>
  </si>
  <si>
    <t>14A(2b)</t>
  </si>
  <si>
    <t>14A(2b)(i)</t>
  </si>
  <si>
    <t>14A(2b)(ii)</t>
  </si>
  <si>
    <t>14A(2b)(iii)</t>
  </si>
  <si>
    <t>14A(2b)(iv)</t>
  </si>
  <si>
    <t>14A(2b)(v)</t>
  </si>
  <si>
    <t>14A(3a)</t>
  </si>
  <si>
    <t>14A(3b)</t>
  </si>
  <si>
    <t>14A(3b)(i)</t>
  </si>
  <si>
    <t>14A(3b)(ii)</t>
  </si>
  <si>
    <t>14A(3b)(iii)</t>
  </si>
  <si>
    <t>14A(3b)(iv)</t>
  </si>
  <si>
    <t>14A(3b)(v)</t>
  </si>
  <si>
    <t>14A(3b)(vi)</t>
  </si>
  <si>
    <t>14A(4a)</t>
  </si>
  <si>
    <t>14A(4b)</t>
  </si>
  <si>
    <t>14A(4b)(i)</t>
  </si>
  <si>
    <t>14A(4b)(ii)</t>
  </si>
  <si>
    <t>14A(4b)(iii)</t>
  </si>
  <si>
    <t>14A(4b)(iv)</t>
  </si>
  <si>
    <t>14A(4b)(v)</t>
  </si>
  <si>
    <t>14A(5)</t>
  </si>
  <si>
    <t>14A(6a)</t>
  </si>
  <si>
    <t>14A(6b)</t>
  </si>
  <si>
    <t>14A(6b)(i)</t>
  </si>
  <si>
    <t>14A(6b)(ii)</t>
  </si>
  <si>
    <t>14A(6b)(iii)</t>
  </si>
  <si>
    <t>14A(6b)(iv)</t>
  </si>
  <si>
    <t>14A(6c)</t>
  </si>
  <si>
    <t>14A(6c)(i)</t>
  </si>
  <si>
    <t>14A(6c)(ii)</t>
  </si>
  <si>
    <t>14A(6c)(iii)</t>
  </si>
  <si>
    <t>14A(6c)(iv)</t>
  </si>
  <si>
    <t>14A(6c)(v)</t>
  </si>
  <si>
    <t>14A(6c)(vi)</t>
  </si>
  <si>
    <t>14A(7a)</t>
  </si>
  <si>
    <t>14A(7b)</t>
  </si>
  <si>
    <t>14A(7b)(i)</t>
  </si>
  <si>
    <t>14A(7b)(ii)</t>
  </si>
  <si>
    <t>14A(7b)(iii)</t>
  </si>
  <si>
    <t>14A(7b)(iv)</t>
  </si>
  <si>
    <t>14A(7b)(ix)</t>
  </si>
  <si>
    <t>14A(7b)(v)</t>
  </si>
  <si>
    <t>14A(7b)(vi)</t>
  </si>
  <si>
    <t>14A(7b)(vii)</t>
  </si>
  <si>
    <t>14A(7b)(viii)</t>
  </si>
  <si>
    <t>14A(7b)(x)</t>
  </si>
  <si>
    <t>14A(7b)(xi)</t>
  </si>
  <si>
    <t>14A(8)</t>
  </si>
  <si>
    <t>14A(8)(i)</t>
  </si>
  <si>
    <t>14A(8)(ii)</t>
  </si>
  <si>
    <t>14A(8)(iii)</t>
  </si>
  <si>
    <t>14A(8)(iv)</t>
  </si>
  <si>
    <t>14A(8)(v)</t>
  </si>
  <si>
    <t>14A(8)(vi)</t>
  </si>
  <si>
    <t>14A(8)(vii)</t>
  </si>
  <si>
    <t>14A(8)(viii)</t>
  </si>
  <si>
    <t>14A(9)</t>
  </si>
  <si>
    <t>15</t>
  </si>
  <si>
    <t>15(a)</t>
  </si>
  <si>
    <t>15(b)</t>
  </si>
  <si>
    <t>15(c.)</t>
  </si>
  <si>
    <t>15(i)</t>
  </si>
  <si>
    <t>15(ii)</t>
  </si>
  <si>
    <t>15(iii)</t>
  </si>
  <si>
    <t>15(iv)</t>
  </si>
  <si>
    <t>15(ix)</t>
  </si>
  <si>
    <t>15(v)</t>
  </si>
  <si>
    <t>15(vi)</t>
  </si>
  <si>
    <t>15(vii)</t>
  </si>
  <si>
    <t>15(viii)</t>
  </si>
  <si>
    <t>15(x)</t>
  </si>
  <si>
    <t>15(xi)</t>
  </si>
  <si>
    <t>15(xii)</t>
  </si>
  <si>
    <t>15(xiii)</t>
  </si>
  <si>
    <t>15(xiv)</t>
  </si>
  <si>
    <t>15(xv)</t>
  </si>
  <si>
    <t>15(xvi)</t>
  </si>
  <si>
    <t>150</t>
  </si>
  <si>
    <t>150(a)</t>
  </si>
  <si>
    <t>150(b)</t>
  </si>
  <si>
    <t>151(a)</t>
  </si>
  <si>
    <t>151(b)</t>
  </si>
  <si>
    <t>152</t>
  </si>
  <si>
    <t>153</t>
  </si>
  <si>
    <t>154</t>
  </si>
  <si>
    <t>155</t>
  </si>
  <si>
    <t>156</t>
  </si>
  <si>
    <t>159</t>
  </si>
  <si>
    <t>15A(i)</t>
  </si>
  <si>
    <t>15A(ii)</t>
  </si>
  <si>
    <t>15A(iii)</t>
  </si>
  <si>
    <t>15A(iv)</t>
  </si>
  <si>
    <t>16</t>
  </si>
  <si>
    <t>160</t>
  </si>
  <si>
    <t>163</t>
  </si>
  <si>
    <t>164</t>
  </si>
  <si>
    <t>165</t>
  </si>
  <si>
    <t>166</t>
  </si>
  <si>
    <t>167</t>
  </si>
  <si>
    <t>168</t>
  </si>
  <si>
    <t>169</t>
  </si>
  <si>
    <t>17</t>
  </si>
  <si>
    <t>170</t>
  </si>
  <si>
    <t>171</t>
  </si>
  <si>
    <t>172</t>
  </si>
  <si>
    <t>173</t>
  </si>
  <si>
    <t>174</t>
  </si>
  <si>
    <t>175</t>
  </si>
  <si>
    <t>176</t>
  </si>
  <si>
    <t>176(i)</t>
  </si>
  <si>
    <t>176(ii)</t>
  </si>
  <si>
    <t>176(iii)</t>
  </si>
  <si>
    <t>176(iv)</t>
  </si>
  <si>
    <t>177</t>
  </si>
  <si>
    <t>178</t>
  </si>
  <si>
    <t>179</t>
  </si>
  <si>
    <t>18</t>
  </si>
  <si>
    <t>18(i)</t>
  </si>
  <si>
    <t>18(ii)</t>
  </si>
  <si>
    <t>18(iii)</t>
  </si>
  <si>
    <t>18(iv)</t>
  </si>
  <si>
    <t>18(ix)</t>
  </si>
  <si>
    <t>18(v)</t>
  </si>
  <si>
    <t>18(vi)</t>
  </si>
  <si>
    <t>18(vii)</t>
  </si>
  <si>
    <t>18(viii)</t>
  </si>
  <si>
    <t>18(x)</t>
  </si>
  <si>
    <t>18(xi)</t>
  </si>
  <si>
    <t>18(xii)</t>
  </si>
  <si>
    <t>18(xiii)</t>
  </si>
  <si>
    <t>18(xiv)</t>
  </si>
  <si>
    <t>18(xix)</t>
  </si>
  <si>
    <t>18(xv)</t>
  </si>
  <si>
    <t>18(xvi)</t>
  </si>
  <si>
    <t>18(xvii)</t>
  </si>
  <si>
    <t>18(xviii)</t>
  </si>
  <si>
    <t>18(xx)</t>
  </si>
  <si>
    <t>18(xxi)</t>
  </si>
  <si>
    <t>180</t>
  </si>
  <si>
    <t>181</t>
  </si>
  <si>
    <t>181A</t>
  </si>
  <si>
    <t>182</t>
  </si>
  <si>
    <t>183</t>
  </si>
  <si>
    <t>184</t>
  </si>
  <si>
    <t>185</t>
  </si>
  <si>
    <t>19</t>
  </si>
  <si>
    <t>2</t>
  </si>
  <si>
    <t>2(a)</t>
  </si>
  <si>
    <t>2(b)</t>
  </si>
  <si>
    <t>2(i)</t>
  </si>
  <si>
    <t>2(ii)</t>
  </si>
  <si>
    <t>2(ii)(a)</t>
  </si>
  <si>
    <t>2(ii)(b)</t>
  </si>
  <si>
    <t>2(iii)</t>
  </si>
  <si>
    <t>20</t>
  </si>
  <si>
    <t>21</t>
  </si>
  <si>
    <t>22</t>
  </si>
  <si>
    <t>23</t>
  </si>
  <si>
    <t>24</t>
  </si>
  <si>
    <t>25</t>
  </si>
  <si>
    <t>26</t>
  </si>
  <si>
    <t>26(i)</t>
  </si>
  <si>
    <t>26(ii)</t>
  </si>
  <si>
    <t>26(iii)</t>
  </si>
  <si>
    <t>26(iv)</t>
  </si>
  <si>
    <t>26(ix)</t>
  </si>
  <si>
    <t>26(v)</t>
  </si>
  <si>
    <t>26(vi)</t>
  </si>
  <si>
    <t>26(vii)</t>
  </si>
  <si>
    <t>26(viii)</t>
  </si>
  <si>
    <t>26(x)</t>
  </si>
  <si>
    <t>26(xi)</t>
  </si>
  <si>
    <t>26(xii)</t>
  </si>
  <si>
    <t>26(xiii)</t>
  </si>
  <si>
    <t>26(xiv)</t>
  </si>
  <si>
    <t>26(xix)</t>
  </si>
  <si>
    <t>26(xv)</t>
  </si>
  <si>
    <t>26(xvi)</t>
  </si>
  <si>
    <t>26(xvii)</t>
  </si>
  <si>
    <t>26(xviii)</t>
  </si>
  <si>
    <t>27</t>
  </si>
  <si>
    <t>27(i)</t>
  </si>
  <si>
    <t>27(ii)</t>
  </si>
  <si>
    <t>27(iii)</t>
  </si>
  <si>
    <t>27(iv)</t>
  </si>
  <si>
    <t>27(v)</t>
  </si>
  <si>
    <t>27(vi)</t>
  </si>
  <si>
    <t>27(vii)</t>
  </si>
  <si>
    <t>27A</t>
  </si>
  <si>
    <t>28</t>
  </si>
  <si>
    <t>28(i)</t>
  </si>
  <si>
    <t>28(ii)</t>
  </si>
  <si>
    <t>28(iii)</t>
  </si>
  <si>
    <t>28(iv)</t>
  </si>
  <si>
    <t>28(v)</t>
  </si>
  <si>
    <t>28(vi)</t>
  </si>
  <si>
    <t>29</t>
  </si>
  <si>
    <t>29(i)</t>
  </si>
  <si>
    <t>29(ii)</t>
  </si>
  <si>
    <t>29(iii)</t>
  </si>
  <si>
    <t>29(iv)</t>
  </si>
  <si>
    <t>29(ix)</t>
  </si>
  <si>
    <t>29(v)</t>
  </si>
  <si>
    <t>29(vi)</t>
  </si>
  <si>
    <t>29(vii)</t>
  </si>
  <si>
    <t>29(viii)</t>
  </si>
  <si>
    <t>29(x)</t>
  </si>
  <si>
    <t>29(xi)</t>
  </si>
  <si>
    <t>29(xii)</t>
  </si>
  <si>
    <t>29(xiii)</t>
  </si>
  <si>
    <t>29(xiv)</t>
  </si>
  <si>
    <t>29(xv)</t>
  </si>
  <si>
    <t>29(xvi)</t>
  </si>
  <si>
    <t>29(xvii)</t>
  </si>
  <si>
    <t>29(xviii)</t>
  </si>
  <si>
    <t>29C</t>
  </si>
  <si>
    <t>2A</t>
  </si>
  <si>
    <t>2A(i)</t>
  </si>
  <si>
    <t>2A(ii)</t>
  </si>
  <si>
    <t>2A(iii)</t>
  </si>
  <si>
    <t>2A(iv)</t>
  </si>
  <si>
    <t>2A(ix)</t>
  </si>
  <si>
    <t>2A(v)</t>
  </si>
  <si>
    <t>2A(vi)</t>
  </si>
  <si>
    <t>2A(vii)</t>
  </si>
  <si>
    <t>2A(viii)</t>
  </si>
  <si>
    <t>2B</t>
  </si>
  <si>
    <t>2B(i)</t>
  </si>
  <si>
    <t>2B(ii)</t>
  </si>
  <si>
    <t>2B(iii)</t>
  </si>
  <si>
    <t>2C</t>
  </si>
  <si>
    <t>2C(i)</t>
  </si>
  <si>
    <t>2C(ii)</t>
  </si>
  <si>
    <t>2D</t>
  </si>
  <si>
    <t>2D(i)</t>
  </si>
  <si>
    <t>2D(ii)</t>
  </si>
  <si>
    <t>2E</t>
  </si>
  <si>
    <t>2F</t>
  </si>
  <si>
    <t>3</t>
  </si>
  <si>
    <t>3(1A)</t>
  </si>
  <si>
    <t>3(i)</t>
  </si>
  <si>
    <t>3(ii)</t>
  </si>
  <si>
    <t>30</t>
  </si>
  <si>
    <t>30(i)</t>
  </si>
  <si>
    <t>30(ii)</t>
  </si>
  <si>
    <t>31</t>
  </si>
  <si>
    <t>32</t>
  </si>
  <si>
    <t>33</t>
  </si>
  <si>
    <t>34</t>
  </si>
  <si>
    <t>34(1)</t>
  </si>
  <si>
    <t>34(2)</t>
  </si>
  <si>
    <t>34(3)</t>
  </si>
  <si>
    <t>34(4)</t>
  </si>
  <si>
    <t>35</t>
  </si>
  <si>
    <t>36</t>
  </si>
  <si>
    <t>37</t>
  </si>
  <si>
    <t>38</t>
  </si>
  <si>
    <t>39</t>
  </si>
  <si>
    <t>4</t>
  </si>
  <si>
    <t>4(1)</t>
  </si>
  <si>
    <t>4(2)</t>
  </si>
  <si>
    <t>40</t>
  </si>
  <si>
    <t>41</t>
  </si>
  <si>
    <t>42</t>
  </si>
  <si>
    <t>43</t>
  </si>
  <si>
    <t>44</t>
  </si>
  <si>
    <t>45</t>
  </si>
  <si>
    <t>45(i)</t>
  </si>
  <si>
    <t>45(ii)</t>
  </si>
  <si>
    <t>45(iii)</t>
  </si>
  <si>
    <t>45(iv)</t>
  </si>
  <si>
    <t>45v</t>
  </si>
  <si>
    <t>45vi</t>
  </si>
  <si>
    <t>46</t>
  </si>
  <si>
    <t>47</t>
  </si>
  <si>
    <t>48</t>
  </si>
  <si>
    <t>49</t>
  </si>
  <si>
    <t>5</t>
  </si>
  <si>
    <t>5(i)</t>
  </si>
  <si>
    <t>5(ii)</t>
  </si>
  <si>
    <t>50</t>
  </si>
  <si>
    <t>51</t>
  </si>
  <si>
    <t>52</t>
  </si>
  <si>
    <t>52A</t>
  </si>
  <si>
    <t>53</t>
  </si>
  <si>
    <t>53(i)</t>
  </si>
  <si>
    <t>53(ii)</t>
  </si>
  <si>
    <t>53(iii)</t>
  </si>
  <si>
    <t>53(iv)</t>
  </si>
  <si>
    <t>53(ix)</t>
  </si>
  <si>
    <t>53(v)</t>
  </si>
  <si>
    <t>53(vi)</t>
  </si>
  <si>
    <t>53(vii)</t>
  </si>
  <si>
    <t>53(viii)</t>
  </si>
  <si>
    <t>53(x)</t>
  </si>
  <si>
    <t>53(xi)</t>
  </si>
  <si>
    <t>53(xii)</t>
  </si>
  <si>
    <t>53(xiii)</t>
  </si>
  <si>
    <t>53(xiv)</t>
  </si>
  <si>
    <t>53(xix)</t>
  </si>
  <si>
    <t>53(xv)</t>
  </si>
  <si>
    <t>53(xvi)</t>
  </si>
  <si>
    <t>53(xvii)</t>
  </si>
  <si>
    <t>53(xviii)</t>
  </si>
  <si>
    <t>54</t>
  </si>
  <si>
    <t>55</t>
  </si>
  <si>
    <t>56</t>
  </si>
  <si>
    <t>56(i)</t>
  </si>
  <si>
    <t>56(ii)</t>
  </si>
  <si>
    <t>57</t>
  </si>
  <si>
    <t>58</t>
  </si>
  <si>
    <t>59</t>
  </si>
  <si>
    <t>6</t>
  </si>
  <si>
    <t>6(A)</t>
  </si>
  <si>
    <t>6(A)(i)</t>
  </si>
  <si>
    <t>6(A)(ii)</t>
  </si>
  <si>
    <t>6(A)(iii)</t>
  </si>
  <si>
    <t>6(A)(iv)</t>
  </si>
  <si>
    <t>6(A)(ix)</t>
  </si>
  <si>
    <t>6(A)(v)</t>
  </si>
  <si>
    <t>6(A)(vi)</t>
  </si>
  <si>
    <t>6(A)(vii)</t>
  </si>
  <si>
    <t>6(A)(viii)</t>
  </si>
  <si>
    <t>6(A)(x)</t>
  </si>
  <si>
    <t>6(i)</t>
  </si>
  <si>
    <t>6(ii)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</si>
  <si>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</si>
  <si>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</si>
  <si>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</si>
  <si>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</si>
  <si>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</si>
  <si>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</si>
  <si>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</si>
  <si>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</si>
  <si>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</si>
  <si>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</si>
  <si>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</t>
  </si>
  <si>
    <t>7(i)</t>
  </si>
  <si>
    <t>7(ii)</t>
  </si>
  <si>
    <t>70</t>
  </si>
  <si>
    <t>70(i)</t>
  </si>
  <si>
    <t>70(ii)</t>
  </si>
  <si>
    <t>70(iii)</t>
  </si>
  <si>
    <t>70(iv)</t>
  </si>
  <si>
    <t>70(v)</t>
  </si>
  <si>
    <t>70(vi)</t>
  </si>
  <si>
    <t>71</t>
  </si>
  <si>
    <t>72</t>
  </si>
  <si>
    <t>73</t>
  </si>
  <si>
    <t>73(a)</t>
  </si>
  <si>
    <t>73(b)</t>
  </si>
  <si>
    <t>73A</t>
  </si>
  <si>
    <t>74</t>
  </si>
  <si>
    <t>75</t>
  </si>
  <si>
    <t>76</t>
  </si>
  <si>
    <t>77</t>
  </si>
  <si>
    <t>78</t>
  </si>
  <si>
    <t>79</t>
  </si>
  <si>
    <t>8</t>
  </si>
  <si>
    <t>8(1)</t>
  </si>
  <si>
    <t>8(2)</t>
  </si>
  <si>
    <t>8(3)</t>
  </si>
  <si>
    <t>8(4)</t>
  </si>
  <si>
    <t>8(5)</t>
  </si>
  <si>
    <t>8(i)</t>
  </si>
  <si>
    <t>8(i)(a)</t>
  </si>
  <si>
    <t>8(i)(b)</t>
  </si>
  <si>
    <t>8(i)(c)</t>
  </si>
  <si>
    <t>8(ii)</t>
  </si>
  <si>
    <t>80</t>
  </si>
  <si>
    <t>81</t>
  </si>
  <si>
    <t>82</t>
  </si>
  <si>
    <t>83</t>
  </si>
  <si>
    <t>84</t>
  </si>
  <si>
    <t>84(i)</t>
  </si>
  <si>
    <t>84(ii)</t>
  </si>
  <si>
    <t>84(iii)</t>
  </si>
  <si>
    <t>84(iv)</t>
  </si>
  <si>
    <t>84(v)</t>
  </si>
  <si>
    <t>84(vi)</t>
  </si>
  <si>
    <t>84(vii)</t>
  </si>
  <si>
    <t>85</t>
  </si>
  <si>
    <t>86</t>
  </si>
  <si>
    <t>87</t>
  </si>
  <si>
    <t>88</t>
  </si>
  <si>
    <t>89</t>
  </si>
  <si>
    <t>8A</t>
  </si>
  <si>
    <t>9</t>
  </si>
  <si>
    <t>9(i)</t>
  </si>
  <si>
    <t>9(ii)</t>
  </si>
  <si>
    <t>9(iii)</t>
  </si>
  <si>
    <t>9(iv)</t>
  </si>
  <si>
    <t>9(ix)</t>
  </si>
  <si>
    <t>9(v)</t>
  </si>
  <si>
    <t>9(vi)</t>
  </si>
  <si>
    <t>9(vii)</t>
  </si>
  <si>
    <t>9(viii)</t>
  </si>
  <si>
    <t>9(x)</t>
  </si>
  <si>
    <t>9(xi)</t>
  </si>
  <si>
    <t>9(xii)</t>
  </si>
  <si>
    <t>9(xiii)</t>
  </si>
  <si>
    <t>9(xiv)</t>
  </si>
  <si>
    <t>9(xix)</t>
  </si>
  <si>
    <t>9(xv)</t>
  </si>
  <si>
    <t>9(xvi)</t>
  </si>
  <si>
    <t>9(xvii)</t>
  </si>
  <si>
    <t>9(xviii)</t>
  </si>
  <si>
    <t>9(xx)</t>
  </si>
  <si>
    <t>9(xxi)</t>
  </si>
  <si>
    <t>9(xxii)</t>
  </si>
  <si>
    <t>9(xxiii)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</si>
  <si>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</si>
  <si>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</si>
  <si>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</si>
  <si>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</si>
  <si>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</si>
  <si>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</si>
  <si>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</si>
  <si>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</si>
  <si>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</si>
  <si>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</si>
  <si>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Region-I</t>
  </si>
  <si>
    <t>Region-II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</si>
</sst>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00FF"/>
      <name val="Calibri"/>
    </font>
    <font>
      <sz val="11"/>
      <color rgb="FF0000FF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 applyAlignment="1">
      <alignment horizontal="left"/>
    </xf>
    <xf numFmtId="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1" fillId="0" borderId="0" xfId="0" applyFont="1"/>
    <xf numFmtId="49" fontId="1" fillId="0" borderId="0" xfId="0" applyNumberFormat="1" applyFont="1" applyAlignment="1">
      <alignment horizontal="left"/>
    </xf>
    <xf numFmtId="9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right"/>
    </xf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734"/>
  <sheetViews>
    <sheetView tabSelected="1" topLeftCell="D1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2" width="14" customWidth="1"/>
    <col min="3" max="3" width="19" style="1" customWidth="1"/>
    <col min="4" max="4" width="24" style="1" customWidth="1"/>
    <col min="5" max="9" width="14" customWidth="1"/>
    <col min="10" max="10" width="16" customWidth="1"/>
    <col min="11" max="11" width="22" customWidth="1"/>
    <col min="12" max="12" width="15" customWidth="1"/>
    <col min="13" max="16" width="14" customWidth="1"/>
    <col min="17" max="17" width="16" style="1" customWidth="1"/>
    <col min="18" max="18" width="18" style="1" customWidth="1"/>
    <col min="19" max="19" width="14" style="1" customWidth="1"/>
    <col min="20" max="20" width="17" style="1" customWidth="1"/>
    <col min="21" max="22" width="14" style="1" customWidth="1"/>
    <col min="23" max="23" width="31" style="1" customWidth="1"/>
    <col min="24" max="24" width="36" style="1" customWidth="1"/>
    <col min="25" max="25" width="14" customWidth="1"/>
    <col min="26" max="26" width="16" customWidth="1"/>
    <col min="27" max="28" width="14" customWidth="1"/>
    <col min="29" max="29" width="23" customWidth="1"/>
    <col min="30" max="30" width="24" customWidth="1"/>
    <col min="31" max="31" width="27" customWidth="1"/>
    <col min="32" max="33" width="14" customWidth="1"/>
    <col min="34" max="34" width="17" customWidth="1"/>
    <col min="35" max="35" width="14" style="2" customWidth="1"/>
    <col min="36" max="37" width="20" style="3" customWidth="1"/>
    <col min="38" max="38" width="14" customWidth="1"/>
    <col min="39" max="39" width="22" customWidth="1"/>
    <col min="40" max="40" width="23" customWidth="1"/>
    <col min="41" max="43" width="14" customWidth="1"/>
    <col min="44" max="44" width="20" customWidth="1"/>
    <col min="45" max="45" width="14" customWidth="1"/>
    <col min="46" max="53" width="9" hidden="1" customWidth="1"/>
  </cols>
  <sheetData>
    <row r="1" spans="1:53" s="4" customFormat="1" x14ac:dyDescent="0.25">
      <c r="A1" s="4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6" t="s">
        <v>34</v>
      </c>
      <c r="AJ1" s="7" t="s">
        <v>35</v>
      </c>
      <c r="AK1" s="7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</row>
    <row r="2" spans="1:53" x14ac:dyDescent="0.25">
      <c r="V2" s="1" t="str">
        <f t="shared" ref="V2:V33" si="0">IF($R2="","",TRIM(MID($R2,FIND(" - ",$R2)+3,LEN($R2))))</f>
        <v/>
      </c>
      <c r="AC2" s="8" t="str">
        <f t="shared" ref="AC2:AC33" si="1">IF(AND(AA2&lt;&gt;"",AB2&lt;&gt;""),AA2-AB2,IF(AA2&lt;&gt;"",AA2,""))</f>
        <v/>
      </c>
      <c r="AE2" s="8" t="str">
        <f t="shared" ref="AE2:AE33" si="2">IF(AND(Z2&lt;&gt;"",AD2&lt;&gt;""),Z2*AD2,"")</f>
        <v/>
      </c>
      <c r="AJ2" s="3" t="str">
        <f t="shared" ref="AJ2:AJ33" si="3">IF(AI2=18%,ROUND((AC2+AM2)*0.18,2),"")</f>
        <v/>
      </c>
      <c r="AK2" s="3" t="str">
        <f t="shared" ref="AK2:AK33" si="4">IF(AI2=25%,ROUND((AC2+AM2)*0.25,2),"")</f>
        <v/>
      </c>
      <c r="AL2" s="9" t="str">
        <f t="shared" ref="AL2:AL33" si="5">IF(OR($AA2="",$AD2=""),"",IFERROR($AA2/$AD2,0))</f>
        <v/>
      </c>
      <c r="AM2" t="str">
        <f t="shared" ref="AM2:AM33" si="6">IF($AC2="","",
IF($S2="","",
IF(ISNUMBER(SEARCH("exempt",LOWER($S2))),0,
$AC2*(VALUE(SUBSTITUTE($S2,"%",""))/100))))</f>
        <v/>
      </c>
      <c r="AS2" t="str">
        <f t="shared" ref="AS2:AS33" si="7">IF($AC2="","",
SUM($AC2,$AM2,$AQ2,$AN2,$AP2,$AO2,$AR2))</f>
        <v/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50</v>
      </c>
      <c r="BA2" t="s">
        <v>49</v>
      </c>
    </row>
    <row r="3" spans="1:53" x14ac:dyDescent="0.25">
      <c r="V3" s="1" t="str">
        <f t="shared" si="0"/>
        <v/>
      </c>
      <c r="AC3" s="8" t="str">
        <f t="shared" si="1"/>
        <v/>
      </c>
      <c r="AE3" s="8" t="str">
        <f t="shared" si="2"/>
        <v/>
      </c>
      <c r="AJ3" s="3" t="str">
        <f t="shared" si="3"/>
        <v/>
      </c>
      <c r="AK3" s="3" t="str">
        <f t="shared" si="4"/>
        <v/>
      </c>
      <c r="AL3" s="9" t="str">
        <f t="shared" si="5"/>
        <v/>
      </c>
      <c r="AM3" t="str">
        <f t="shared" si="6"/>
        <v/>
      </c>
      <c r="AS3" t="str">
        <f t="shared" si="7"/>
        <v/>
      </c>
      <c r="AT3" t="s">
        <v>51</v>
      </c>
      <c r="AU3" t="s">
        <v>52</v>
      </c>
      <c r="AV3" t="s">
        <v>53</v>
      </c>
      <c r="AW3" t="s">
        <v>54</v>
      </c>
      <c r="AX3" t="s">
        <v>55</v>
      </c>
      <c r="AY3" t="s">
        <v>56</v>
      </c>
      <c r="AZ3" t="s">
        <v>57</v>
      </c>
      <c r="BA3" t="s">
        <v>58</v>
      </c>
    </row>
    <row r="4" spans="1:53" x14ac:dyDescent="0.25">
      <c r="V4" s="1" t="str">
        <f t="shared" si="0"/>
        <v/>
      </c>
      <c r="AC4" s="8" t="str">
        <f t="shared" si="1"/>
        <v/>
      </c>
      <c r="AE4" s="8" t="str">
        <f t="shared" si="2"/>
        <v/>
      </c>
      <c r="AJ4" s="3" t="str">
        <f t="shared" si="3"/>
        <v/>
      </c>
      <c r="AK4" s="3" t="str">
        <f t="shared" si="4"/>
        <v/>
      </c>
      <c r="AL4" s="9" t="str">
        <f t="shared" si="5"/>
        <v/>
      </c>
      <c r="AM4" t="str">
        <f t="shared" si="6"/>
        <v/>
      </c>
      <c r="AS4" t="str">
        <f t="shared" si="7"/>
        <v/>
      </c>
      <c r="AU4" t="s">
        <v>59</v>
      </c>
      <c r="AV4" t="s">
        <v>60</v>
      </c>
      <c r="AW4" t="s">
        <v>61</v>
      </c>
      <c r="AX4" t="s">
        <v>62</v>
      </c>
      <c r="AY4" t="s">
        <v>63</v>
      </c>
      <c r="AZ4" t="s">
        <v>64</v>
      </c>
    </row>
    <row r="5" spans="1:53" x14ac:dyDescent="0.25">
      <c r="V5" s="1" t="str">
        <f t="shared" si="0"/>
        <v/>
      </c>
      <c r="AC5" s="8" t="str">
        <f t="shared" si="1"/>
        <v/>
      </c>
      <c r="AE5" s="8" t="str">
        <f t="shared" si="2"/>
        <v/>
      </c>
      <c r="AJ5" s="3" t="str">
        <f t="shared" si="3"/>
        <v/>
      </c>
      <c r="AK5" s="3" t="str">
        <f t="shared" si="4"/>
        <v/>
      </c>
      <c r="AL5" s="9" t="str">
        <f t="shared" si="5"/>
        <v/>
      </c>
      <c r="AM5" t="str">
        <f t="shared" si="6"/>
        <v/>
      </c>
      <c r="AS5" t="str">
        <f t="shared" si="7"/>
        <v/>
      </c>
      <c r="AU5" t="s">
        <v>65</v>
      </c>
      <c r="AV5" t="s">
        <v>66</v>
      </c>
      <c r="AW5" t="s">
        <v>67</v>
      </c>
      <c r="AX5" t="s">
        <v>68</v>
      </c>
      <c r="AY5" t="s">
        <v>69</v>
      </c>
      <c r="AZ5" t="s">
        <v>70</v>
      </c>
    </row>
    <row r="6" spans="1:53" x14ac:dyDescent="0.25">
      <c r="V6" s="1" t="str">
        <f t="shared" si="0"/>
        <v/>
      </c>
      <c r="AC6" s="8" t="str">
        <f t="shared" si="1"/>
        <v/>
      </c>
      <c r="AE6" s="8" t="str">
        <f t="shared" si="2"/>
        <v/>
      </c>
      <c r="AJ6" s="3" t="str">
        <f t="shared" si="3"/>
        <v/>
      </c>
      <c r="AK6" s="3" t="str">
        <f t="shared" si="4"/>
        <v/>
      </c>
      <c r="AL6" s="9" t="str">
        <f t="shared" si="5"/>
        <v/>
      </c>
      <c r="AM6" t="str">
        <f t="shared" si="6"/>
        <v/>
      </c>
      <c r="AS6" t="str">
        <f t="shared" si="7"/>
        <v/>
      </c>
      <c r="AU6" t="s">
        <v>71</v>
      </c>
      <c r="AV6" t="s">
        <v>72</v>
      </c>
      <c r="AW6" t="s">
        <v>73</v>
      </c>
      <c r="AX6" t="s">
        <v>74</v>
      </c>
      <c r="AY6" t="s">
        <v>75</v>
      </c>
      <c r="AZ6" t="s">
        <v>76</v>
      </c>
    </row>
    <row r="7" spans="1:53" x14ac:dyDescent="0.25">
      <c r="V7" s="1" t="str">
        <f t="shared" si="0"/>
        <v/>
      </c>
      <c r="AC7" s="8" t="str">
        <f t="shared" si="1"/>
        <v/>
      </c>
      <c r="AE7" s="8" t="str">
        <f t="shared" si="2"/>
        <v/>
      </c>
      <c r="AJ7" s="3" t="str">
        <f t="shared" si="3"/>
        <v/>
      </c>
      <c r="AK7" s="3" t="str">
        <f t="shared" si="4"/>
        <v/>
      </c>
      <c r="AL7" s="9" t="str">
        <f t="shared" si="5"/>
        <v/>
      </c>
      <c r="AM7" t="str">
        <f t="shared" si="6"/>
        <v/>
      </c>
      <c r="AS7" t="str">
        <f t="shared" si="7"/>
        <v/>
      </c>
      <c r="AU7" t="s">
        <v>77</v>
      </c>
      <c r="AV7" t="s">
        <v>78</v>
      </c>
      <c r="AW7" t="s">
        <v>79</v>
      </c>
      <c r="AX7" t="s">
        <v>80</v>
      </c>
      <c r="AY7" t="s">
        <v>81</v>
      </c>
      <c r="AZ7" t="s">
        <v>82</v>
      </c>
    </row>
    <row r="8" spans="1:53" x14ac:dyDescent="0.25">
      <c r="V8" s="1" t="str">
        <f t="shared" si="0"/>
        <v/>
      </c>
      <c r="AC8" s="8" t="str">
        <f t="shared" si="1"/>
        <v/>
      </c>
      <c r="AE8" s="8" t="str">
        <f t="shared" si="2"/>
        <v/>
      </c>
      <c r="AJ8" s="3" t="str">
        <f t="shared" si="3"/>
        <v/>
      </c>
      <c r="AK8" s="3" t="str">
        <f t="shared" si="4"/>
        <v/>
      </c>
      <c r="AL8" s="9" t="str">
        <f t="shared" si="5"/>
        <v/>
      </c>
      <c r="AM8" t="str">
        <f t="shared" si="6"/>
        <v/>
      </c>
      <c r="AS8" t="str">
        <f t="shared" si="7"/>
        <v/>
      </c>
      <c r="AU8" t="s">
        <v>83</v>
      </c>
      <c r="AV8" t="s">
        <v>84</v>
      </c>
      <c r="AW8" t="s">
        <v>85</v>
      </c>
      <c r="AX8" t="s">
        <v>86</v>
      </c>
      <c r="AY8" t="s">
        <v>87</v>
      </c>
      <c r="AZ8" t="s">
        <v>88</v>
      </c>
    </row>
    <row r="9" spans="1:53" x14ac:dyDescent="0.25">
      <c r="V9" s="1" t="str">
        <f t="shared" si="0"/>
        <v/>
      </c>
      <c r="AC9" s="8" t="str">
        <f t="shared" si="1"/>
        <v/>
      </c>
      <c r="AE9" s="8" t="str">
        <f t="shared" si="2"/>
        <v/>
      </c>
      <c r="AJ9" s="3" t="str">
        <f t="shared" si="3"/>
        <v/>
      </c>
      <c r="AK9" s="3" t="str">
        <f t="shared" si="4"/>
        <v/>
      </c>
      <c r="AL9" s="9" t="str">
        <f t="shared" si="5"/>
        <v/>
      </c>
      <c r="AM9" t="str">
        <f t="shared" si="6"/>
        <v/>
      </c>
      <c r="AS9" t="str">
        <f t="shared" si="7"/>
        <v/>
      </c>
      <c r="AV9" t="s">
        <v>89</v>
      </c>
      <c r="AW9" t="s">
        <v>90</v>
      </c>
      <c r="AX9" t="s">
        <v>91</v>
      </c>
      <c r="AY9" t="s">
        <v>92</v>
      </c>
      <c r="AZ9" t="s">
        <v>93</v>
      </c>
    </row>
    <row r="10" spans="1:53" x14ac:dyDescent="0.25">
      <c r="V10" s="1" t="str">
        <f t="shared" si="0"/>
        <v/>
      </c>
      <c r="AC10" s="8" t="str">
        <f t="shared" si="1"/>
        <v/>
      </c>
      <c r="AE10" s="8" t="str">
        <f t="shared" si="2"/>
        <v/>
      </c>
      <c r="AJ10" s="3" t="str">
        <f t="shared" si="3"/>
        <v/>
      </c>
      <c r="AK10" s="3" t="str">
        <f t="shared" si="4"/>
        <v/>
      </c>
      <c r="AL10" s="9" t="str">
        <f t="shared" si="5"/>
        <v/>
      </c>
      <c r="AM10" t="str">
        <f t="shared" si="6"/>
        <v/>
      </c>
      <c r="AS10" t="str">
        <f t="shared" si="7"/>
        <v/>
      </c>
      <c r="AV10" t="s">
        <v>94</v>
      </c>
      <c r="AW10" t="s">
        <v>95</v>
      </c>
      <c r="AX10" t="s">
        <v>96</v>
      </c>
      <c r="AY10" t="s">
        <v>97</v>
      </c>
      <c r="AZ10" t="s">
        <v>98</v>
      </c>
    </row>
    <row r="11" spans="1:53" x14ac:dyDescent="0.25">
      <c r="V11" s="1" t="str">
        <f t="shared" si="0"/>
        <v/>
      </c>
      <c r="AC11" s="8" t="str">
        <f t="shared" si="1"/>
        <v/>
      </c>
      <c r="AE11" s="8" t="str">
        <f t="shared" si="2"/>
        <v/>
      </c>
      <c r="AJ11" s="3" t="str">
        <f t="shared" si="3"/>
        <v/>
      </c>
      <c r="AK11" s="3" t="str">
        <f t="shared" si="4"/>
        <v/>
      </c>
      <c r="AL11" s="9" t="str">
        <f t="shared" si="5"/>
        <v/>
      </c>
      <c r="AM11" t="str">
        <f t="shared" si="6"/>
        <v/>
      </c>
      <c r="AS11" t="str">
        <f t="shared" si="7"/>
        <v/>
      </c>
      <c r="AV11" t="s">
        <v>99</v>
      </c>
      <c r="AW11" t="s">
        <v>100</v>
      </c>
      <c r="AX11" t="s">
        <v>101</v>
      </c>
      <c r="AY11" t="s">
        <v>102</v>
      </c>
      <c r="AZ11" t="s">
        <v>103</v>
      </c>
    </row>
    <row r="12" spans="1:53" x14ac:dyDescent="0.25">
      <c r="V12" s="1" t="str">
        <f t="shared" si="0"/>
        <v/>
      </c>
      <c r="AC12" s="8" t="str">
        <f t="shared" si="1"/>
        <v/>
      </c>
      <c r="AE12" s="8" t="str">
        <f t="shared" si="2"/>
        <v/>
      </c>
      <c r="AJ12" s="3" t="str">
        <f t="shared" si="3"/>
        <v/>
      </c>
      <c r="AK12" s="3" t="str">
        <f t="shared" si="4"/>
        <v/>
      </c>
      <c r="AL12" s="9" t="str">
        <f t="shared" si="5"/>
        <v/>
      </c>
      <c r="AM12" t="str">
        <f t="shared" si="6"/>
        <v/>
      </c>
      <c r="AS12" t="str">
        <f t="shared" si="7"/>
        <v/>
      </c>
      <c r="AV12" t="s">
        <v>104</v>
      </c>
      <c r="AW12" t="s">
        <v>105</v>
      </c>
      <c r="AX12" t="s">
        <v>106</v>
      </c>
      <c r="AY12" t="s">
        <v>107</v>
      </c>
      <c r="AZ12" t="s">
        <v>108</v>
      </c>
    </row>
    <row r="13" spans="1:53" x14ac:dyDescent="0.25">
      <c r="V13" s="1" t="str">
        <f t="shared" si="0"/>
        <v/>
      </c>
      <c r="AC13" s="8" t="str">
        <f t="shared" si="1"/>
        <v/>
      </c>
      <c r="AE13" s="8" t="str">
        <f t="shared" si="2"/>
        <v/>
      </c>
      <c r="AJ13" s="3" t="str">
        <f t="shared" si="3"/>
        <v/>
      </c>
      <c r="AK13" s="3" t="str">
        <f t="shared" si="4"/>
        <v/>
      </c>
      <c r="AL13" s="9" t="str">
        <f t="shared" si="5"/>
        <v/>
      </c>
      <c r="AM13" t="str">
        <f t="shared" si="6"/>
        <v/>
      </c>
      <c r="AS13" t="str">
        <f t="shared" si="7"/>
        <v/>
      </c>
      <c r="AV13" t="s">
        <v>109</v>
      </c>
      <c r="AW13" t="s">
        <v>110</v>
      </c>
      <c r="AX13" t="s">
        <v>111</v>
      </c>
      <c r="AY13" t="s">
        <v>112</v>
      </c>
      <c r="AZ13" t="s">
        <v>113</v>
      </c>
    </row>
    <row r="14" spans="1:53" x14ac:dyDescent="0.25">
      <c r="V14" s="1" t="str">
        <f t="shared" si="0"/>
        <v/>
      </c>
      <c r="AC14" s="8" t="str">
        <f t="shared" si="1"/>
        <v/>
      </c>
      <c r="AE14" s="8" t="str">
        <f t="shared" si="2"/>
        <v/>
      </c>
      <c r="AJ14" s="3" t="str">
        <f t="shared" si="3"/>
        <v/>
      </c>
      <c r="AK14" s="3" t="str">
        <f t="shared" si="4"/>
        <v/>
      </c>
      <c r="AL14" s="9" t="str">
        <f t="shared" si="5"/>
        <v/>
      </c>
      <c r="AM14" t="str">
        <f t="shared" si="6"/>
        <v/>
      </c>
      <c r="AS14" t="str">
        <f t="shared" si="7"/>
        <v/>
      </c>
      <c r="AV14" t="s">
        <v>114</v>
      </c>
      <c r="AW14" t="s">
        <v>115</v>
      </c>
      <c r="AX14" t="s">
        <v>116</v>
      </c>
      <c r="AY14" t="s">
        <v>117</v>
      </c>
      <c r="AZ14" t="s">
        <v>118</v>
      </c>
    </row>
    <row r="15" spans="1:53" x14ac:dyDescent="0.25">
      <c r="V15" s="1" t="str">
        <f t="shared" si="0"/>
        <v/>
      </c>
      <c r="AC15" s="8" t="str">
        <f t="shared" si="1"/>
        <v/>
      </c>
      <c r="AE15" s="8" t="str">
        <f t="shared" si="2"/>
        <v/>
      </c>
      <c r="AJ15" s="3" t="str">
        <f t="shared" si="3"/>
        <v/>
      </c>
      <c r="AK15" s="3" t="str">
        <f t="shared" si="4"/>
        <v/>
      </c>
      <c r="AL15" s="9" t="str">
        <f t="shared" si="5"/>
        <v/>
      </c>
      <c r="AM15" t="str">
        <f t="shared" si="6"/>
        <v/>
      </c>
      <c r="AS15" t="str">
        <f t="shared" si="7"/>
        <v/>
      </c>
      <c r="AV15" t="s">
        <v>119</v>
      </c>
      <c r="AW15" t="s">
        <v>120</v>
      </c>
      <c r="AX15" t="s">
        <v>121</v>
      </c>
      <c r="AY15" t="s">
        <v>122</v>
      </c>
      <c r="AZ15" t="s">
        <v>123</v>
      </c>
    </row>
    <row r="16" spans="1:53" x14ac:dyDescent="0.25">
      <c r="V16" s="1" t="str">
        <f t="shared" si="0"/>
        <v/>
      </c>
      <c r="AC16" s="8" t="str">
        <f t="shared" si="1"/>
        <v/>
      </c>
      <c r="AE16" s="8" t="str">
        <f t="shared" si="2"/>
        <v/>
      </c>
      <c r="AJ16" s="3" t="str">
        <f t="shared" si="3"/>
        <v/>
      </c>
      <c r="AK16" s="3" t="str">
        <f t="shared" si="4"/>
        <v/>
      </c>
      <c r="AL16" s="9" t="str">
        <f t="shared" si="5"/>
        <v/>
      </c>
      <c r="AM16" t="str">
        <f t="shared" si="6"/>
        <v/>
      </c>
      <c r="AS16" t="str">
        <f t="shared" si="7"/>
        <v/>
      </c>
      <c r="AV16" t="s">
        <v>124</v>
      </c>
      <c r="AW16" t="s">
        <v>125</v>
      </c>
      <c r="AX16" t="s">
        <v>126</v>
      </c>
      <c r="AY16" t="s">
        <v>127</v>
      </c>
      <c r="AZ16" t="s">
        <v>128</v>
      </c>
    </row>
    <row r="17" spans="22:52" x14ac:dyDescent="0.25">
      <c r="V17" s="1" t="str">
        <f t="shared" si="0"/>
        <v/>
      </c>
      <c r="AC17" s="8" t="str">
        <f t="shared" si="1"/>
        <v/>
      </c>
      <c r="AE17" s="8" t="str">
        <f t="shared" si="2"/>
        <v/>
      </c>
      <c r="AJ17" s="3" t="str">
        <f t="shared" si="3"/>
        <v/>
      </c>
      <c r="AK17" s="3" t="str">
        <f t="shared" si="4"/>
        <v/>
      </c>
      <c r="AL17" s="9" t="str">
        <f t="shared" si="5"/>
        <v/>
      </c>
      <c r="AM17" t="str">
        <f t="shared" si="6"/>
        <v/>
      </c>
      <c r="AS17" t="str">
        <f t="shared" si="7"/>
        <v/>
      </c>
      <c r="AV17" t="s">
        <v>129</v>
      </c>
      <c r="AW17" t="s">
        <v>130</v>
      </c>
      <c r="AX17" t="s">
        <v>131</v>
      </c>
      <c r="AY17" t="s">
        <v>132</v>
      </c>
      <c r="AZ17" t="s">
        <v>133</v>
      </c>
    </row>
    <row r="18" spans="22:52" x14ac:dyDescent="0.25">
      <c r="V18" s="1" t="str">
        <f t="shared" si="0"/>
        <v/>
      </c>
      <c r="AC18" s="8" t="str">
        <f t="shared" si="1"/>
        <v/>
      </c>
      <c r="AE18" s="8" t="str">
        <f t="shared" si="2"/>
        <v/>
      </c>
      <c r="AJ18" s="3" t="str">
        <f t="shared" si="3"/>
        <v/>
      </c>
      <c r="AK18" s="3" t="str">
        <f t="shared" si="4"/>
        <v/>
      </c>
      <c r="AL18" s="9" t="str">
        <f t="shared" si="5"/>
        <v/>
      </c>
      <c r="AM18" t="str">
        <f t="shared" si="6"/>
        <v/>
      </c>
      <c r="AS18" t="str">
        <f t="shared" si="7"/>
        <v/>
      </c>
      <c r="AV18" t="s">
        <v>134</v>
      </c>
      <c r="AW18" t="s">
        <v>135</v>
      </c>
      <c r="AX18" t="s">
        <v>136</v>
      </c>
      <c r="AY18" t="s">
        <v>137</v>
      </c>
      <c r="AZ18" t="s">
        <v>138</v>
      </c>
    </row>
    <row r="19" spans="22:52" x14ac:dyDescent="0.25">
      <c r="V19" s="1" t="str">
        <f t="shared" si="0"/>
        <v/>
      </c>
      <c r="AC19" s="8" t="str">
        <f t="shared" si="1"/>
        <v/>
      </c>
      <c r="AE19" s="8" t="str">
        <f t="shared" si="2"/>
        <v/>
      </c>
      <c r="AJ19" s="3" t="str">
        <f t="shared" si="3"/>
        <v/>
      </c>
      <c r="AK19" s="3" t="str">
        <f t="shared" si="4"/>
        <v/>
      </c>
      <c r="AL19" s="9" t="str">
        <f t="shared" si="5"/>
        <v/>
      </c>
      <c r="AM19" t="str">
        <f t="shared" si="6"/>
        <v/>
      </c>
      <c r="AS19" t="str">
        <f t="shared" si="7"/>
        <v/>
      </c>
      <c r="AV19" t="s">
        <v>139</v>
      </c>
      <c r="AW19" t="s">
        <v>140</v>
      </c>
      <c r="AX19" t="s">
        <v>141</v>
      </c>
      <c r="AY19" t="s">
        <v>142</v>
      </c>
      <c r="AZ19" t="s">
        <v>143</v>
      </c>
    </row>
    <row r="20" spans="22:52" x14ac:dyDescent="0.25">
      <c r="V20" s="1" t="str">
        <f t="shared" si="0"/>
        <v/>
      </c>
      <c r="AC20" s="8" t="str">
        <f t="shared" si="1"/>
        <v/>
      </c>
      <c r="AE20" s="8" t="str">
        <f t="shared" si="2"/>
        <v/>
      </c>
      <c r="AJ20" s="3" t="str">
        <f t="shared" si="3"/>
        <v/>
      </c>
      <c r="AK20" s="3" t="str">
        <f t="shared" si="4"/>
        <v/>
      </c>
      <c r="AL20" s="9" t="str">
        <f t="shared" si="5"/>
        <v/>
      </c>
      <c r="AM20" t="str">
        <f t="shared" si="6"/>
        <v/>
      </c>
      <c r="AS20" t="str">
        <f t="shared" si="7"/>
        <v/>
      </c>
      <c r="AV20" t="s">
        <v>144</v>
      </c>
      <c r="AW20" t="s">
        <v>145</v>
      </c>
      <c r="AX20" t="s">
        <v>146</v>
      </c>
      <c r="AY20" t="s">
        <v>147</v>
      </c>
      <c r="AZ20" t="s">
        <v>148</v>
      </c>
    </row>
    <row r="21" spans="22:52" x14ac:dyDescent="0.25">
      <c r="V21" s="1" t="str">
        <f t="shared" si="0"/>
        <v/>
      </c>
      <c r="AC21" s="8" t="str">
        <f t="shared" si="1"/>
        <v/>
      </c>
      <c r="AE21" s="8" t="str">
        <f t="shared" si="2"/>
        <v/>
      </c>
      <c r="AJ21" s="3" t="str">
        <f t="shared" si="3"/>
        <v/>
      </c>
      <c r="AK21" s="3" t="str">
        <f t="shared" si="4"/>
        <v/>
      </c>
      <c r="AL21" s="9" t="str">
        <f t="shared" si="5"/>
        <v/>
      </c>
      <c r="AM21" t="str">
        <f t="shared" si="6"/>
        <v/>
      </c>
      <c r="AS21" t="str">
        <f t="shared" si="7"/>
        <v/>
      </c>
      <c r="AV21" t="s">
        <v>149</v>
      </c>
      <c r="AW21" t="s">
        <v>150</v>
      </c>
      <c r="AX21" t="s">
        <v>151</v>
      </c>
      <c r="AY21" t="s">
        <v>152</v>
      </c>
      <c r="AZ21" t="s">
        <v>153</v>
      </c>
    </row>
    <row r="22" spans="22:52" x14ac:dyDescent="0.25">
      <c r="V22" s="1" t="str">
        <f t="shared" si="0"/>
        <v/>
      </c>
      <c r="AC22" s="8" t="str">
        <f t="shared" si="1"/>
        <v/>
      </c>
      <c r="AE22" s="8" t="str">
        <f t="shared" si="2"/>
        <v/>
      </c>
      <c r="AJ22" s="3" t="str">
        <f t="shared" si="3"/>
        <v/>
      </c>
      <c r="AK22" s="3" t="str">
        <f t="shared" si="4"/>
        <v/>
      </c>
      <c r="AL22" s="9" t="str">
        <f t="shared" si="5"/>
        <v/>
      </c>
      <c r="AM22" t="str">
        <f t="shared" si="6"/>
        <v/>
      </c>
      <c r="AS22" t="str">
        <f t="shared" si="7"/>
        <v/>
      </c>
      <c r="AV22" t="s">
        <v>154</v>
      </c>
      <c r="AW22" t="s">
        <v>155</v>
      </c>
      <c r="AX22" t="s">
        <v>156</v>
      </c>
      <c r="AY22" t="s">
        <v>157</v>
      </c>
      <c r="AZ22" t="s">
        <v>158</v>
      </c>
    </row>
    <row r="23" spans="22:52" x14ac:dyDescent="0.25">
      <c r="V23" s="1" t="str">
        <f t="shared" si="0"/>
        <v/>
      </c>
      <c r="AC23" s="8" t="str">
        <f t="shared" si="1"/>
        <v/>
      </c>
      <c r="AE23" s="8" t="str">
        <f t="shared" si="2"/>
        <v/>
      </c>
      <c r="AJ23" s="3" t="str">
        <f t="shared" si="3"/>
        <v/>
      </c>
      <c r="AK23" s="3" t="str">
        <f t="shared" si="4"/>
        <v/>
      </c>
      <c r="AL23" s="9" t="str">
        <f t="shared" si="5"/>
        <v/>
      </c>
      <c r="AM23" t="str">
        <f t="shared" si="6"/>
        <v/>
      </c>
      <c r="AS23" t="str">
        <f t="shared" si="7"/>
        <v/>
      </c>
      <c r="AV23" t="s">
        <v>159</v>
      </c>
      <c r="AW23" t="s">
        <v>160</v>
      </c>
      <c r="AX23" t="s">
        <v>161</v>
      </c>
      <c r="AY23" t="s">
        <v>162</v>
      </c>
      <c r="AZ23" t="s">
        <v>163</v>
      </c>
    </row>
    <row r="24" spans="22:52" x14ac:dyDescent="0.25">
      <c r="V24" s="1" t="str">
        <f t="shared" si="0"/>
        <v/>
      </c>
      <c r="AC24" s="8" t="str">
        <f t="shared" si="1"/>
        <v/>
      </c>
      <c r="AE24" s="8" t="str">
        <f t="shared" si="2"/>
        <v/>
      </c>
      <c r="AJ24" s="3" t="str">
        <f t="shared" si="3"/>
        <v/>
      </c>
      <c r="AK24" s="3" t="str">
        <f t="shared" si="4"/>
        <v/>
      </c>
      <c r="AL24" s="9" t="str">
        <f t="shared" si="5"/>
        <v/>
      </c>
      <c r="AM24" t="str">
        <f t="shared" si="6"/>
        <v/>
      </c>
      <c r="AS24" t="str">
        <f t="shared" si="7"/>
        <v/>
      </c>
      <c r="AV24" t="s">
        <v>164</v>
      </c>
      <c r="AW24" t="s">
        <v>165</v>
      </c>
      <c r="AX24" t="s">
        <v>166</v>
      </c>
      <c r="AY24" t="s">
        <v>167</v>
      </c>
      <c r="AZ24" t="s">
        <v>168</v>
      </c>
    </row>
    <row r="25" spans="22:52" x14ac:dyDescent="0.25">
      <c r="V25" s="1" t="str">
        <f t="shared" si="0"/>
        <v/>
      </c>
      <c r="AC25" s="8" t="str">
        <f t="shared" si="1"/>
        <v/>
      </c>
      <c r="AE25" s="8" t="str">
        <f t="shared" si="2"/>
        <v/>
      </c>
      <c r="AJ25" s="3" t="str">
        <f t="shared" si="3"/>
        <v/>
      </c>
      <c r="AK25" s="3" t="str">
        <f t="shared" si="4"/>
        <v/>
      </c>
      <c r="AL25" s="9" t="str">
        <f t="shared" si="5"/>
        <v/>
      </c>
      <c r="AM25" t="str">
        <f t="shared" si="6"/>
        <v/>
      </c>
      <c r="AS25" t="str">
        <f t="shared" si="7"/>
        <v/>
      </c>
      <c r="AV25" t="s">
        <v>169</v>
      </c>
      <c r="AW25" t="s">
        <v>170</v>
      </c>
      <c r="AX25" t="s">
        <v>171</v>
      </c>
      <c r="AY25" t="s">
        <v>172</v>
      </c>
      <c r="AZ25" t="s">
        <v>173</v>
      </c>
    </row>
    <row r="26" spans="22:52" x14ac:dyDescent="0.25">
      <c r="V26" s="1" t="str">
        <f t="shared" si="0"/>
        <v/>
      </c>
      <c r="AC26" s="8" t="str">
        <f t="shared" si="1"/>
        <v/>
      </c>
      <c r="AE26" s="8" t="str">
        <f t="shared" si="2"/>
        <v/>
      </c>
      <c r="AJ26" s="3" t="str">
        <f t="shared" si="3"/>
        <v/>
      </c>
      <c r="AK26" s="3" t="str">
        <f t="shared" si="4"/>
        <v/>
      </c>
      <c r="AL26" s="9" t="str">
        <f t="shared" si="5"/>
        <v/>
      </c>
      <c r="AM26" t="str">
        <f t="shared" si="6"/>
        <v/>
      </c>
      <c r="AS26" t="str">
        <f t="shared" si="7"/>
        <v/>
      </c>
      <c r="AV26" t="s">
        <v>174</v>
      </c>
      <c r="AW26" t="s">
        <v>175</v>
      </c>
      <c r="AX26" t="s">
        <v>176</v>
      </c>
      <c r="AY26" t="s">
        <v>177</v>
      </c>
      <c r="AZ26" t="s">
        <v>178</v>
      </c>
    </row>
    <row r="27" spans="22:52" x14ac:dyDescent="0.25">
      <c r="V27" s="1" t="str">
        <f t="shared" si="0"/>
        <v/>
      </c>
      <c r="AC27" s="8" t="str">
        <f t="shared" si="1"/>
        <v/>
      </c>
      <c r="AE27" s="8" t="str">
        <f t="shared" si="2"/>
        <v/>
      </c>
      <c r="AJ27" s="3" t="str">
        <f t="shared" si="3"/>
        <v/>
      </c>
      <c r="AK27" s="3" t="str">
        <f t="shared" si="4"/>
        <v/>
      </c>
      <c r="AL27" s="9" t="str">
        <f t="shared" si="5"/>
        <v/>
      </c>
      <c r="AM27" t="str">
        <f t="shared" si="6"/>
        <v/>
      </c>
      <c r="AS27" t="str">
        <f t="shared" si="7"/>
        <v/>
      </c>
      <c r="AV27" t="s">
        <v>179</v>
      </c>
      <c r="AW27" t="s">
        <v>180</v>
      </c>
      <c r="AX27" t="s">
        <v>181</v>
      </c>
      <c r="AZ27" t="s">
        <v>182</v>
      </c>
    </row>
    <row r="28" spans="22:52" x14ac:dyDescent="0.25">
      <c r="V28" s="1" t="str">
        <f t="shared" si="0"/>
        <v/>
      </c>
      <c r="AC28" s="8" t="str">
        <f t="shared" si="1"/>
        <v/>
      </c>
      <c r="AE28" s="8" t="str">
        <f t="shared" si="2"/>
        <v/>
      </c>
      <c r="AJ28" s="3" t="str">
        <f t="shared" si="3"/>
        <v/>
      </c>
      <c r="AK28" s="3" t="str">
        <f t="shared" si="4"/>
        <v/>
      </c>
      <c r="AL28" s="9" t="str">
        <f t="shared" si="5"/>
        <v/>
      </c>
      <c r="AM28" t="str">
        <f t="shared" si="6"/>
        <v/>
      </c>
      <c r="AS28" t="str">
        <f t="shared" si="7"/>
        <v/>
      </c>
      <c r="AW28" t="s">
        <v>183</v>
      </c>
      <c r="AX28" t="s">
        <v>184</v>
      </c>
      <c r="AZ28" t="s">
        <v>185</v>
      </c>
    </row>
    <row r="29" spans="22:52" x14ac:dyDescent="0.25">
      <c r="V29" s="1" t="str">
        <f t="shared" si="0"/>
        <v/>
      </c>
      <c r="AC29" s="8" t="str">
        <f t="shared" si="1"/>
        <v/>
      </c>
      <c r="AE29" s="8" t="str">
        <f t="shared" si="2"/>
        <v/>
      </c>
      <c r="AJ29" s="3" t="str">
        <f t="shared" si="3"/>
        <v/>
      </c>
      <c r="AK29" s="3" t="str">
        <f t="shared" si="4"/>
        <v/>
      </c>
      <c r="AL29" s="9" t="str">
        <f t="shared" si="5"/>
        <v/>
      </c>
      <c r="AM29" t="str">
        <f t="shared" si="6"/>
        <v/>
      </c>
      <c r="AS29" t="str">
        <f t="shared" si="7"/>
        <v/>
      </c>
      <c r="AW29" t="s">
        <v>186</v>
      </c>
      <c r="AX29" t="s">
        <v>187</v>
      </c>
      <c r="AZ29" t="s">
        <v>188</v>
      </c>
    </row>
    <row r="30" spans="22:52" x14ac:dyDescent="0.25">
      <c r="V30" s="1" t="str">
        <f t="shared" si="0"/>
        <v/>
      </c>
      <c r="AC30" s="8" t="str">
        <f t="shared" si="1"/>
        <v/>
      </c>
      <c r="AE30" s="8" t="str">
        <f t="shared" si="2"/>
        <v/>
      </c>
      <c r="AJ30" s="3" t="str">
        <f t="shared" si="3"/>
        <v/>
      </c>
      <c r="AK30" s="3" t="str">
        <f t="shared" si="4"/>
        <v/>
      </c>
      <c r="AL30" s="9" t="str">
        <f t="shared" si="5"/>
        <v/>
      </c>
      <c r="AM30" t="str">
        <f t="shared" si="6"/>
        <v/>
      </c>
      <c r="AS30" t="str">
        <f t="shared" si="7"/>
        <v/>
      </c>
      <c r="AW30" t="s">
        <v>189</v>
      </c>
      <c r="AX30" t="s">
        <v>190</v>
      </c>
      <c r="AZ30" t="s">
        <v>191</v>
      </c>
    </row>
    <row r="31" spans="22:52" x14ac:dyDescent="0.25">
      <c r="V31" s="1" t="str">
        <f t="shared" si="0"/>
        <v/>
      </c>
      <c r="AC31" s="8" t="str">
        <f t="shared" si="1"/>
        <v/>
      </c>
      <c r="AE31" s="8" t="str">
        <f t="shared" si="2"/>
        <v/>
      </c>
      <c r="AJ31" s="3" t="str">
        <f t="shared" si="3"/>
        <v/>
      </c>
      <c r="AK31" s="3" t="str">
        <f t="shared" si="4"/>
        <v/>
      </c>
      <c r="AL31" s="9" t="str">
        <f t="shared" si="5"/>
        <v/>
      </c>
      <c r="AM31" t="str">
        <f t="shared" si="6"/>
        <v/>
      </c>
      <c r="AS31" t="str">
        <f t="shared" si="7"/>
        <v/>
      </c>
      <c r="AW31" t="s">
        <v>192</v>
      </c>
      <c r="AX31" t="s">
        <v>193</v>
      </c>
      <c r="AZ31" t="s">
        <v>194</v>
      </c>
    </row>
    <row r="32" spans="22:52" x14ac:dyDescent="0.25">
      <c r="V32" s="1" t="str">
        <f t="shared" si="0"/>
        <v/>
      </c>
      <c r="AC32" s="8" t="str">
        <f t="shared" si="1"/>
        <v/>
      </c>
      <c r="AE32" s="8" t="str">
        <f t="shared" si="2"/>
        <v/>
      </c>
      <c r="AJ32" s="3" t="str">
        <f t="shared" si="3"/>
        <v/>
      </c>
      <c r="AK32" s="3" t="str">
        <f t="shared" si="4"/>
        <v/>
      </c>
      <c r="AL32" s="9" t="str">
        <f t="shared" si="5"/>
        <v/>
      </c>
      <c r="AM32" t="str">
        <f t="shared" si="6"/>
        <v/>
      </c>
      <c r="AS32" t="str">
        <f t="shared" si="7"/>
        <v/>
      </c>
      <c r="AW32" t="s">
        <v>195</v>
      </c>
      <c r="AX32" t="s">
        <v>196</v>
      </c>
      <c r="AZ32" t="s">
        <v>197</v>
      </c>
    </row>
    <row r="33" spans="22:52" x14ac:dyDescent="0.25">
      <c r="V33" s="1" t="str">
        <f t="shared" si="0"/>
        <v/>
      </c>
      <c r="AC33" s="8" t="str">
        <f t="shared" si="1"/>
        <v/>
      </c>
      <c r="AE33" s="8" t="str">
        <f t="shared" si="2"/>
        <v/>
      </c>
      <c r="AJ33" s="3" t="str">
        <f t="shared" si="3"/>
        <v/>
      </c>
      <c r="AK33" s="3" t="str">
        <f t="shared" si="4"/>
        <v/>
      </c>
      <c r="AL33" s="9" t="str">
        <f t="shared" si="5"/>
        <v/>
      </c>
      <c r="AM33" t="str">
        <f t="shared" si="6"/>
        <v/>
      </c>
      <c r="AS33" t="str">
        <f t="shared" si="7"/>
        <v/>
      </c>
      <c r="AW33" t="s">
        <v>198</v>
      </c>
      <c r="AX33" t="s">
        <v>199</v>
      </c>
      <c r="AZ33" t="s">
        <v>200</v>
      </c>
    </row>
    <row r="34" spans="22:52" x14ac:dyDescent="0.25">
      <c r="V34" s="1" t="str">
        <f t="shared" ref="V34:V65" si="8">IF($R34="","",TRIM(MID($R34,FIND(" - ",$R34)+3,LEN($R34))))</f>
        <v/>
      </c>
      <c r="AC34" s="8" t="str">
        <f t="shared" ref="AC34:AC65" si="9">IF(AND(AA34&lt;&gt;"",AB34&lt;&gt;""),AA34-AB34,IF(AA34&lt;&gt;"",AA34,""))</f>
        <v/>
      </c>
      <c r="AE34" s="8" t="str">
        <f t="shared" ref="AE34:AE65" si="10">IF(AND(Z34&lt;&gt;"",AD34&lt;&gt;""),Z34*AD34,"")</f>
        <v/>
      </c>
      <c r="AJ34" s="3" t="str">
        <f t="shared" ref="AJ34:AJ65" si="11">IF(AI34=18%,ROUND((AC34+AM34)*0.18,2),"")</f>
        <v/>
      </c>
      <c r="AK34" s="3" t="str">
        <f t="shared" ref="AK34:AK65" si="12">IF(AI34=25%,ROUND((AC34+AM34)*0.25,2),"")</f>
        <v/>
      </c>
      <c r="AL34" s="9" t="str">
        <f t="shared" ref="AL34:AL65" si="13">IF(OR($AA34="",$AD34=""),"",IFERROR($AA34/$AD34,0))</f>
        <v/>
      </c>
      <c r="AM34" t="str">
        <f t="shared" ref="AM34:AM65" si="14">IF($AC34="","",
IF($S34="","",
IF(ISNUMBER(SEARCH("exempt",LOWER($S34))),0,
$AC34*(VALUE(SUBSTITUTE($S34,"%",""))/100))))</f>
        <v/>
      </c>
      <c r="AS34" t="str">
        <f t="shared" ref="AS34:AS65" si="15">IF($AC34="","",
SUM($AC34,$AM34,$AQ34,$AN34,$AP34,$AO34,$AR34))</f>
        <v/>
      </c>
      <c r="AX34" t="s">
        <v>201</v>
      </c>
      <c r="AZ34" t="s">
        <v>202</v>
      </c>
    </row>
    <row r="35" spans="22:52" x14ac:dyDescent="0.25">
      <c r="V35" s="1" t="str">
        <f t="shared" si="8"/>
        <v/>
      </c>
      <c r="AC35" s="8" t="str">
        <f t="shared" si="9"/>
        <v/>
      </c>
      <c r="AE35" s="8" t="str">
        <f t="shared" si="10"/>
        <v/>
      </c>
      <c r="AJ35" s="3" t="str">
        <f t="shared" si="11"/>
        <v/>
      </c>
      <c r="AK35" s="3" t="str">
        <f t="shared" si="12"/>
        <v/>
      </c>
      <c r="AL35" s="9" t="str">
        <f t="shared" si="13"/>
        <v/>
      </c>
      <c r="AM35" t="str">
        <f t="shared" si="14"/>
        <v/>
      </c>
      <c r="AS35" t="str">
        <f t="shared" si="15"/>
        <v/>
      </c>
      <c r="AX35" t="s">
        <v>203</v>
      </c>
      <c r="AZ35" t="s">
        <v>204</v>
      </c>
    </row>
    <row r="36" spans="22:52" x14ac:dyDescent="0.25">
      <c r="V36" s="1" t="str">
        <f t="shared" si="8"/>
        <v/>
      </c>
      <c r="AC36" s="8" t="str">
        <f t="shared" si="9"/>
        <v/>
      </c>
      <c r="AE36" s="8" t="str">
        <f t="shared" si="10"/>
        <v/>
      </c>
      <c r="AJ36" s="3" t="str">
        <f t="shared" si="11"/>
        <v/>
      </c>
      <c r="AK36" s="3" t="str">
        <f t="shared" si="12"/>
        <v/>
      </c>
      <c r="AL36" s="9" t="str">
        <f t="shared" si="13"/>
        <v/>
      </c>
      <c r="AM36" t="str">
        <f t="shared" si="14"/>
        <v/>
      </c>
      <c r="AS36" t="str">
        <f t="shared" si="15"/>
        <v/>
      </c>
      <c r="AX36" t="s">
        <v>205</v>
      </c>
      <c r="AZ36" t="s">
        <v>206</v>
      </c>
    </row>
    <row r="37" spans="22:52" x14ac:dyDescent="0.25">
      <c r="V37" s="1" t="str">
        <f t="shared" si="8"/>
        <v/>
      </c>
      <c r="AC37" s="8" t="str">
        <f t="shared" si="9"/>
        <v/>
      </c>
      <c r="AE37" s="8" t="str">
        <f t="shared" si="10"/>
        <v/>
      </c>
      <c r="AJ37" s="3" t="str">
        <f t="shared" si="11"/>
        <v/>
      </c>
      <c r="AK37" s="3" t="str">
        <f t="shared" si="12"/>
        <v/>
      </c>
      <c r="AL37" s="9" t="str">
        <f t="shared" si="13"/>
        <v/>
      </c>
      <c r="AM37" t="str">
        <f t="shared" si="14"/>
        <v/>
      </c>
      <c r="AS37" t="str">
        <f t="shared" si="15"/>
        <v/>
      </c>
      <c r="AX37" t="s">
        <v>207</v>
      </c>
      <c r="AZ37" t="s">
        <v>208</v>
      </c>
    </row>
    <row r="38" spans="22:52" x14ac:dyDescent="0.25">
      <c r="V38" s="1" t="str">
        <f t="shared" si="8"/>
        <v/>
      </c>
      <c r="AC38" s="8" t="str">
        <f t="shared" si="9"/>
        <v/>
      </c>
      <c r="AE38" s="8" t="str">
        <f t="shared" si="10"/>
        <v/>
      </c>
      <c r="AJ38" s="3" t="str">
        <f t="shared" si="11"/>
        <v/>
      </c>
      <c r="AK38" s="3" t="str">
        <f t="shared" si="12"/>
        <v/>
      </c>
      <c r="AL38" s="9" t="str">
        <f t="shared" si="13"/>
        <v/>
      </c>
      <c r="AM38" t="str">
        <f t="shared" si="14"/>
        <v/>
      </c>
      <c r="AS38" t="str">
        <f t="shared" si="15"/>
        <v/>
      </c>
      <c r="AX38" t="s">
        <v>209</v>
      </c>
      <c r="AZ38" t="s">
        <v>210</v>
      </c>
    </row>
    <row r="39" spans="22:52" x14ac:dyDescent="0.25">
      <c r="V39" s="1" t="str">
        <f t="shared" si="8"/>
        <v/>
      </c>
      <c r="AC39" s="8" t="str">
        <f t="shared" si="9"/>
        <v/>
      </c>
      <c r="AE39" s="8" t="str">
        <f t="shared" si="10"/>
        <v/>
      </c>
      <c r="AJ39" s="3" t="str">
        <f t="shared" si="11"/>
        <v/>
      </c>
      <c r="AK39" s="3" t="str">
        <f t="shared" si="12"/>
        <v/>
      </c>
      <c r="AL39" s="9" t="str">
        <f t="shared" si="13"/>
        <v/>
      </c>
      <c r="AM39" t="str">
        <f t="shared" si="14"/>
        <v/>
      </c>
      <c r="AS39" t="str">
        <f t="shared" si="15"/>
        <v/>
      </c>
      <c r="AX39" t="s">
        <v>211</v>
      </c>
      <c r="AZ39" t="s">
        <v>212</v>
      </c>
    </row>
    <row r="40" spans="22:52" x14ac:dyDescent="0.25">
      <c r="V40" s="1" t="str">
        <f t="shared" si="8"/>
        <v/>
      </c>
      <c r="AC40" s="8" t="str">
        <f t="shared" si="9"/>
        <v/>
      </c>
      <c r="AE40" s="8" t="str">
        <f t="shared" si="10"/>
        <v/>
      </c>
      <c r="AJ40" s="3" t="str">
        <f t="shared" si="11"/>
        <v/>
      </c>
      <c r="AK40" s="3" t="str">
        <f t="shared" si="12"/>
        <v/>
      </c>
      <c r="AL40" s="9" t="str">
        <f t="shared" si="13"/>
        <v/>
      </c>
      <c r="AM40" t="str">
        <f t="shared" si="14"/>
        <v/>
      </c>
      <c r="AS40" t="str">
        <f t="shared" si="15"/>
        <v/>
      </c>
      <c r="AX40" t="s">
        <v>213</v>
      </c>
      <c r="AZ40" t="s">
        <v>214</v>
      </c>
    </row>
    <row r="41" spans="22:52" x14ac:dyDescent="0.25">
      <c r="V41" s="1" t="str">
        <f t="shared" si="8"/>
        <v/>
      </c>
      <c r="AC41" s="8" t="str">
        <f t="shared" si="9"/>
        <v/>
      </c>
      <c r="AE41" s="8" t="str">
        <f t="shared" si="10"/>
        <v/>
      </c>
      <c r="AJ41" s="3" t="str">
        <f t="shared" si="11"/>
        <v/>
      </c>
      <c r="AK41" s="3" t="str">
        <f t="shared" si="12"/>
        <v/>
      </c>
      <c r="AL41" s="9" t="str">
        <f t="shared" si="13"/>
        <v/>
      </c>
      <c r="AM41" t="str">
        <f t="shared" si="14"/>
        <v/>
      </c>
      <c r="AS41" t="str">
        <f t="shared" si="15"/>
        <v/>
      </c>
      <c r="AX41" t="s">
        <v>215</v>
      </c>
      <c r="AZ41" t="s">
        <v>216</v>
      </c>
    </row>
    <row r="42" spans="22:52" x14ac:dyDescent="0.25">
      <c r="V42" s="1" t="str">
        <f t="shared" si="8"/>
        <v/>
      </c>
      <c r="AC42" s="8" t="str">
        <f t="shared" si="9"/>
        <v/>
      </c>
      <c r="AE42" s="8" t="str">
        <f t="shared" si="10"/>
        <v/>
      </c>
      <c r="AJ42" s="3" t="str">
        <f t="shared" si="11"/>
        <v/>
      </c>
      <c r="AK42" s="3" t="str">
        <f t="shared" si="12"/>
        <v/>
      </c>
      <c r="AL42" s="9" t="str">
        <f t="shared" si="13"/>
        <v/>
      </c>
      <c r="AM42" t="str">
        <f t="shared" si="14"/>
        <v/>
      </c>
      <c r="AS42" t="str">
        <f t="shared" si="15"/>
        <v/>
      </c>
      <c r="AX42" t="s">
        <v>217</v>
      </c>
      <c r="AZ42" t="s">
        <v>218</v>
      </c>
    </row>
    <row r="43" spans="22:52" x14ac:dyDescent="0.25">
      <c r="V43" s="1" t="str">
        <f t="shared" si="8"/>
        <v/>
      </c>
      <c r="AC43" s="8" t="str">
        <f t="shared" si="9"/>
        <v/>
      </c>
      <c r="AE43" s="8" t="str">
        <f t="shared" si="10"/>
        <v/>
      </c>
      <c r="AJ43" s="3" t="str">
        <f t="shared" si="11"/>
        <v/>
      </c>
      <c r="AK43" s="3" t="str">
        <f t="shared" si="12"/>
        <v/>
      </c>
      <c r="AL43" s="9" t="str">
        <f t="shared" si="13"/>
        <v/>
      </c>
      <c r="AM43" t="str">
        <f t="shared" si="14"/>
        <v/>
      </c>
      <c r="AS43" t="str">
        <f t="shared" si="15"/>
        <v/>
      </c>
      <c r="AX43" t="s">
        <v>219</v>
      </c>
      <c r="AZ43" t="s">
        <v>220</v>
      </c>
    </row>
    <row r="44" spans="22:52" x14ac:dyDescent="0.25">
      <c r="V44" s="1" t="str">
        <f t="shared" si="8"/>
        <v/>
      </c>
      <c r="AC44" s="8" t="str">
        <f t="shared" si="9"/>
        <v/>
      </c>
      <c r="AE44" s="8" t="str">
        <f t="shared" si="10"/>
        <v/>
      </c>
      <c r="AJ44" s="3" t="str">
        <f t="shared" si="11"/>
        <v/>
      </c>
      <c r="AK44" s="3" t="str">
        <f t="shared" si="12"/>
        <v/>
      </c>
      <c r="AL44" s="9" t="str">
        <f t="shared" si="13"/>
        <v/>
      </c>
      <c r="AM44" t="str">
        <f t="shared" si="14"/>
        <v/>
      </c>
      <c r="AS44" t="str">
        <f t="shared" si="15"/>
        <v/>
      </c>
      <c r="AX44" t="s">
        <v>221</v>
      </c>
      <c r="AZ44" t="s">
        <v>222</v>
      </c>
    </row>
    <row r="45" spans="22:52" x14ac:dyDescent="0.25">
      <c r="V45" s="1" t="str">
        <f t="shared" si="8"/>
        <v/>
      </c>
      <c r="AC45" s="8" t="str">
        <f t="shared" si="9"/>
        <v/>
      </c>
      <c r="AE45" s="8" t="str">
        <f t="shared" si="10"/>
        <v/>
      </c>
      <c r="AJ45" s="3" t="str">
        <f t="shared" si="11"/>
        <v/>
      </c>
      <c r="AK45" s="3" t="str">
        <f t="shared" si="12"/>
        <v/>
      </c>
      <c r="AL45" s="9" t="str">
        <f t="shared" si="13"/>
        <v/>
      </c>
      <c r="AM45" t="str">
        <f t="shared" si="14"/>
        <v/>
      </c>
      <c r="AS45" t="str">
        <f t="shared" si="15"/>
        <v/>
      </c>
      <c r="AX45" t="s">
        <v>223</v>
      </c>
      <c r="AZ45" t="s">
        <v>224</v>
      </c>
    </row>
    <row r="46" spans="22:52" x14ac:dyDescent="0.25">
      <c r="V46" s="1" t="str">
        <f t="shared" si="8"/>
        <v/>
      </c>
      <c r="AC46" s="8" t="str">
        <f t="shared" si="9"/>
        <v/>
      </c>
      <c r="AE46" s="8" t="str">
        <f t="shared" si="10"/>
        <v/>
      </c>
      <c r="AJ46" s="3" t="str">
        <f t="shared" si="11"/>
        <v/>
      </c>
      <c r="AK46" s="3" t="str">
        <f t="shared" si="12"/>
        <v/>
      </c>
      <c r="AL46" s="9" t="str">
        <f t="shared" si="13"/>
        <v/>
      </c>
      <c r="AM46" t="str">
        <f t="shared" si="14"/>
        <v/>
      </c>
      <c r="AS46" t="str">
        <f t="shared" si="15"/>
        <v/>
      </c>
      <c r="AX46" t="s">
        <v>225</v>
      </c>
      <c r="AZ46" t="s">
        <v>226</v>
      </c>
    </row>
    <row r="47" spans="22:52" x14ac:dyDescent="0.25">
      <c r="V47" s="1" t="str">
        <f t="shared" si="8"/>
        <v/>
      </c>
      <c r="AC47" s="8" t="str">
        <f t="shared" si="9"/>
        <v/>
      </c>
      <c r="AE47" s="8" t="str">
        <f t="shared" si="10"/>
        <v/>
      </c>
      <c r="AJ47" s="3" t="str">
        <f t="shared" si="11"/>
        <v/>
      </c>
      <c r="AK47" s="3" t="str">
        <f t="shared" si="12"/>
        <v/>
      </c>
      <c r="AL47" s="9" t="str">
        <f t="shared" si="13"/>
        <v/>
      </c>
      <c r="AM47" t="str">
        <f t="shared" si="14"/>
        <v/>
      </c>
      <c r="AS47" t="str">
        <f t="shared" si="15"/>
        <v/>
      </c>
      <c r="AX47" t="s">
        <v>227</v>
      </c>
      <c r="AZ47" t="s">
        <v>228</v>
      </c>
    </row>
    <row r="48" spans="22:52" x14ac:dyDescent="0.25">
      <c r="V48" s="1" t="str">
        <f t="shared" si="8"/>
        <v/>
      </c>
      <c r="AC48" s="8" t="str">
        <f t="shared" si="9"/>
        <v/>
      </c>
      <c r="AE48" s="8" t="str">
        <f t="shared" si="10"/>
        <v/>
      </c>
      <c r="AJ48" s="3" t="str">
        <f t="shared" si="11"/>
        <v/>
      </c>
      <c r="AK48" s="3" t="str">
        <f t="shared" si="12"/>
        <v/>
      </c>
      <c r="AL48" s="9" t="str">
        <f t="shared" si="13"/>
        <v/>
      </c>
      <c r="AM48" t="str">
        <f t="shared" si="14"/>
        <v/>
      </c>
      <c r="AS48" t="str">
        <f t="shared" si="15"/>
        <v/>
      </c>
      <c r="AX48" t="s">
        <v>229</v>
      </c>
      <c r="AZ48" t="s">
        <v>230</v>
      </c>
    </row>
    <row r="49" spans="22:52" x14ac:dyDescent="0.25">
      <c r="V49" s="1" t="str">
        <f t="shared" si="8"/>
        <v/>
      </c>
      <c r="AC49" s="8" t="str">
        <f t="shared" si="9"/>
        <v/>
      </c>
      <c r="AE49" s="8" t="str">
        <f t="shared" si="10"/>
        <v/>
      </c>
      <c r="AJ49" s="3" t="str">
        <f t="shared" si="11"/>
        <v/>
      </c>
      <c r="AK49" s="3" t="str">
        <f t="shared" si="12"/>
        <v/>
      </c>
      <c r="AL49" s="9" t="str">
        <f t="shared" si="13"/>
        <v/>
      </c>
      <c r="AM49" t="str">
        <f t="shared" si="14"/>
        <v/>
      </c>
      <c r="AS49" t="str">
        <f t="shared" si="15"/>
        <v/>
      </c>
      <c r="AX49" t="s">
        <v>231</v>
      </c>
      <c r="AZ49" t="s">
        <v>232</v>
      </c>
    </row>
    <row r="50" spans="22:52" x14ac:dyDescent="0.25">
      <c r="V50" s="1" t="str">
        <f t="shared" si="8"/>
        <v/>
      </c>
      <c r="AC50" s="8" t="str">
        <f t="shared" si="9"/>
        <v/>
      </c>
      <c r="AE50" s="8" t="str">
        <f t="shared" si="10"/>
        <v/>
      </c>
      <c r="AJ50" s="3" t="str">
        <f t="shared" si="11"/>
        <v/>
      </c>
      <c r="AK50" s="3" t="str">
        <f t="shared" si="12"/>
        <v/>
      </c>
      <c r="AL50" s="9" t="str">
        <f t="shared" si="13"/>
        <v/>
      </c>
      <c r="AM50" t="str">
        <f t="shared" si="14"/>
        <v/>
      </c>
      <c r="AS50" t="str">
        <f t="shared" si="15"/>
        <v/>
      </c>
      <c r="AX50" t="s">
        <v>233</v>
      </c>
      <c r="AZ50" t="s">
        <v>234</v>
      </c>
    </row>
    <row r="51" spans="22:52" x14ac:dyDescent="0.25">
      <c r="V51" s="1" t="str">
        <f t="shared" si="8"/>
        <v/>
      </c>
      <c r="AC51" s="8" t="str">
        <f t="shared" si="9"/>
        <v/>
      </c>
      <c r="AE51" s="8" t="str">
        <f t="shared" si="10"/>
        <v/>
      </c>
      <c r="AJ51" s="3" t="str">
        <f t="shared" si="11"/>
        <v/>
      </c>
      <c r="AK51" s="3" t="str">
        <f t="shared" si="12"/>
        <v/>
      </c>
      <c r="AL51" s="9" t="str">
        <f t="shared" si="13"/>
        <v/>
      </c>
      <c r="AM51" t="str">
        <f t="shared" si="14"/>
        <v/>
      </c>
      <c r="AS51" t="str">
        <f t="shared" si="15"/>
        <v/>
      </c>
      <c r="AX51" t="s">
        <v>235</v>
      </c>
      <c r="AZ51" t="s">
        <v>236</v>
      </c>
    </row>
    <row r="52" spans="22:52" x14ac:dyDescent="0.25">
      <c r="V52" s="1" t="str">
        <f t="shared" si="8"/>
        <v/>
      </c>
      <c r="AC52" s="8" t="str">
        <f t="shared" si="9"/>
        <v/>
      </c>
      <c r="AE52" s="8" t="str">
        <f t="shared" si="10"/>
        <v/>
      </c>
      <c r="AJ52" s="3" t="str">
        <f t="shared" si="11"/>
        <v/>
      </c>
      <c r="AK52" s="3" t="str">
        <f t="shared" si="12"/>
        <v/>
      </c>
      <c r="AL52" s="9" t="str">
        <f t="shared" si="13"/>
        <v/>
      </c>
      <c r="AM52" t="str">
        <f t="shared" si="14"/>
        <v/>
      </c>
      <c r="AS52" t="str">
        <f t="shared" si="15"/>
        <v/>
      </c>
      <c r="AX52" t="s">
        <v>237</v>
      </c>
      <c r="AZ52" t="s">
        <v>238</v>
      </c>
    </row>
    <row r="53" spans="22:52" x14ac:dyDescent="0.25">
      <c r="V53" s="1" t="str">
        <f t="shared" si="8"/>
        <v/>
      </c>
      <c r="AC53" s="8" t="str">
        <f t="shared" si="9"/>
        <v/>
      </c>
      <c r="AE53" s="8" t="str">
        <f t="shared" si="10"/>
        <v/>
      </c>
      <c r="AJ53" s="3" t="str">
        <f t="shared" si="11"/>
        <v/>
      </c>
      <c r="AK53" s="3" t="str">
        <f t="shared" si="12"/>
        <v/>
      </c>
      <c r="AL53" s="9" t="str">
        <f t="shared" si="13"/>
        <v/>
      </c>
      <c r="AM53" t="str">
        <f t="shared" si="14"/>
        <v/>
      </c>
      <c r="AS53" t="str">
        <f t="shared" si="15"/>
        <v/>
      </c>
      <c r="AX53" t="s">
        <v>58</v>
      </c>
      <c r="AZ53" t="s">
        <v>239</v>
      </c>
    </row>
    <row r="54" spans="22:52" x14ac:dyDescent="0.25">
      <c r="V54" s="1" t="str">
        <f t="shared" si="8"/>
        <v/>
      </c>
      <c r="AC54" s="8" t="str">
        <f t="shared" si="9"/>
        <v/>
      </c>
      <c r="AE54" s="8" t="str">
        <f t="shared" si="10"/>
        <v/>
      </c>
      <c r="AJ54" s="3" t="str">
        <f t="shared" si="11"/>
        <v/>
      </c>
      <c r="AK54" s="3" t="str">
        <f t="shared" si="12"/>
        <v/>
      </c>
      <c r="AL54" s="9" t="str">
        <f t="shared" si="13"/>
        <v/>
      </c>
      <c r="AM54" t="str">
        <f t="shared" si="14"/>
        <v/>
      </c>
      <c r="AS54" t="str">
        <f t="shared" si="15"/>
        <v/>
      </c>
      <c r="AX54" t="s">
        <v>240</v>
      </c>
      <c r="AZ54" t="s">
        <v>241</v>
      </c>
    </row>
    <row r="55" spans="22:52" x14ac:dyDescent="0.25">
      <c r="V55" s="1" t="str">
        <f t="shared" si="8"/>
        <v/>
      </c>
      <c r="AC55" s="8" t="str">
        <f t="shared" si="9"/>
        <v/>
      </c>
      <c r="AE55" s="8" t="str">
        <f t="shared" si="10"/>
        <v/>
      </c>
      <c r="AJ55" s="3" t="str">
        <f t="shared" si="11"/>
        <v/>
      </c>
      <c r="AK55" s="3" t="str">
        <f t="shared" si="12"/>
        <v/>
      </c>
      <c r="AL55" s="9" t="str">
        <f t="shared" si="13"/>
        <v/>
      </c>
      <c r="AM55" t="str">
        <f t="shared" si="14"/>
        <v/>
      </c>
      <c r="AS55" t="str">
        <f t="shared" si="15"/>
        <v/>
      </c>
      <c r="AX55" t="s">
        <v>242</v>
      </c>
      <c r="AZ55" t="s">
        <v>243</v>
      </c>
    </row>
    <row r="56" spans="22:52" x14ac:dyDescent="0.25">
      <c r="V56" s="1" t="str">
        <f t="shared" si="8"/>
        <v/>
      </c>
      <c r="AC56" s="8" t="str">
        <f t="shared" si="9"/>
        <v/>
      </c>
      <c r="AE56" s="8" t="str">
        <f t="shared" si="10"/>
        <v/>
      </c>
      <c r="AJ56" s="3" t="str">
        <f t="shared" si="11"/>
        <v/>
      </c>
      <c r="AK56" s="3" t="str">
        <f t="shared" si="12"/>
        <v/>
      </c>
      <c r="AL56" s="9" t="str">
        <f t="shared" si="13"/>
        <v/>
      </c>
      <c r="AM56" t="str">
        <f t="shared" si="14"/>
        <v/>
      </c>
      <c r="AS56" t="str">
        <f t="shared" si="15"/>
        <v/>
      </c>
      <c r="AX56" t="s">
        <v>244</v>
      </c>
      <c r="AZ56" t="s">
        <v>245</v>
      </c>
    </row>
    <row r="57" spans="22:52" x14ac:dyDescent="0.25">
      <c r="V57" s="1" t="str">
        <f t="shared" si="8"/>
        <v/>
      </c>
      <c r="AC57" s="8" t="str">
        <f t="shared" si="9"/>
        <v/>
      </c>
      <c r="AE57" s="8" t="str">
        <f t="shared" si="10"/>
        <v/>
      </c>
      <c r="AJ57" s="3" t="str">
        <f t="shared" si="11"/>
        <v/>
      </c>
      <c r="AK57" s="3" t="str">
        <f t="shared" si="12"/>
        <v/>
      </c>
      <c r="AL57" s="9" t="str">
        <f t="shared" si="13"/>
        <v/>
      </c>
      <c r="AM57" t="str">
        <f t="shared" si="14"/>
        <v/>
      </c>
      <c r="AS57" t="str">
        <f t="shared" si="15"/>
        <v/>
      </c>
      <c r="AX57" t="s">
        <v>246</v>
      </c>
      <c r="AZ57" t="s">
        <v>247</v>
      </c>
    </row>
    <row r="58" spans="22:52" x14ac:dyDescent="0.25">
      <c r="V58" s="1" t="str">
        <f t="shared" si="8"/>
        <v/>
      </c>
      <c r="AC58" s="8" t="str">
        <f t="shared" si="9"/>
        <v/>
      </c>
      <c r="AE58" s="8" t="str">
        <f t="shared" si="10"/>
        <v/>
      </c>
      <c r="AJ58" s="3" t="str">
        <f t="shared" si="11"/>
        <v/>
      </c>
      <c r="AK58" s="3" t="str">
        <f t="shared" si="12"/>
        <v/>
      </c>
      <c r="AL58" s="9" t="str">
        <f t="shared" si="13"/>
        <v/>
      </c>
      <c r="AM58" t="str">
        <f t="shared" si="14"/>
        <v/>
      </c>
      <c r="AS58" t="str">
        <f t="shared" si="15"/>
        <v/>
      </c>
      <c r="AX58" t="s">
        <v>248</v>
      </c>
      <c r="AZ58" t="s">
        <v>249</v>
      </c>
    </row>
    <row r="59" spans="22:52" x14ac:dyDescent="0.25">
      <c r="V59" s="1" t="str">
        <f t="shared" si="8"/>
        <v/>
      </c>
      <c r="AC59" s="8" t="str">
        <f t="shared" si="9"/>
        <v/>
      </c>
      <c r="AE59" s="8" t="str">
        <f t="shared" si="10"/>
        <v/>
      </c>
      <c r="AJ59" s="3" t="str">
        <f t="shared" si="11"/>
        <v/>
      </c>
      <c r="AK59" s="3" t="str">
        <f t="shared" si="12"/>
        <v/>
      </c>
      <c r="AL59" s="9" t="str">
        <f t="shared" si="13"/>
        <v/>
      </c>
      <c r="AM59" t="str">
        <f t="shared" si="14"/>
        <v/>
      </c>
      <c r="AS59" t="str">
        <f t="shared" si="15"/>
        <v/>
      </c>
      <c r="AX59" t="s">
        <v>250</v>
      </c>
      <c r="AZ59" t="s">
        <v>251</v>
      </c>
    </row>
    <row r="60" spans="22:52" x14ac:dyDescent="0.25">
      <c r="V60" s="1" t="str">
        <f t="shared" si="8"/>
        <v/>
      </c>
      <c r="AC60" s="8" t="str">
        <f t="shared" si="9"/>
        <v/>
      </c>
      <c r="AE60" s="8" t="str">
        <f t="shared" si="10"/>
        <v/>
      </c>
      <c r="AJ60" s="3" t="str">
        <f t="shared" si="11"/>
        <v/>
      </c>
      <c r="AK60" s="3" t="str">
        <f t="shared" si="12"/>
        <v/>
      </c>
      <c r="AL60" s="9" t="str">
        <f t="shared" si="13"/>
        <v/>
      </c>
      <c r="AM60" t="str">
        <f t="shared" si="14"/>
        <v/>
      </c>
      <c r="AS60" t="str">
        <f t="shared" si="15"/>
        <v/>
      </c>
      <c r="AX60" t="s">
        <v>252</v>
      </c>
      <c r="AZ60" t="s">
        <v>253</v>
      </c>
    </row>
    <row r="61" spans="22:52" x14ac:dyDescent="0.25">
      <c r="V61" s="1" t="str">
        <f t="shared" si="8"/>
        <v/>
      </c>
      <c r="AC61" s="8" t="str">
        <f t="shared" si="9"/>
        <v/>
      </c>
      <c r="AE61" s="8" t="str">
        <f t="shared" si="10"/>
        <v/>
      </c>
      <c r="AJ61" s="3" t="str">
        <f t="shared" si="11"/>
        <v/>
      </c>
      <c r="AK61" s="3" t="str">
        <f t="shared" si="12"/>
        <v/>
      </c>
      <c r="AL61" s="9" t="str">
        <f t="shared" si="13"/>
        <v/>
      </c>
      <c r="AM61" t="str">
        <f t="shared" si="14"/>
        <v/>
      </c>
      <c r="AS61" t="str">
        <f t="shared" si="15"/>
        <v/>
      </c>
      <c r="AX61" t="s">
        <v>254</v>
      </c>
      <c r="AZ61" t="s">
        <v>255</v>
      </c>
    </row>
    <row r="62" spans="22:52" x14ac:dyDescent="0.25">
      <c r="V62" s="1" t="str">
        <f t="shared" si="8"/>
        <v/>
      </c>
      <c r="AC62" s="8" t="str">
        <f t="shared" si="9"/>
        <v/>
      </c>
      <c r="AE62" s="8" t="str">
        <f t="shared" si="10"/>
        <v/>
      </c>
      <c r="AJ62" s="3" t="str">
        <f t="shared" si="11"/>
        <v/>
      </c>
      <c r="AK62" s="3" t="str">
        <f t="shared" si="12"/>
        <v/>
      </c>
      <c r="AL62" s="9" t="str">
        <f t="shared" si="13"/>
        <v/>
      </c>
      <c r="AM62" t="str">
        <f t="shared" si="14"/>
        <v/>
      </c>
      <c r="AS62" t="str">
        <f t="shared" si="15"/>
        <v/>
      </c>
      <c r="AX62" t="s">
        <v>256</v>
      </c>
      <c r="AZ62" t="s">
        <v>257</v>
      </c>
    </row>
    <row r="63" spans="22:52" x14ac:dyDescent="0.25">
      <c r="V63" s="1" t="str">
        <f t="shared" si="8"/>
        <v/>
      </c>
      <c r="AC63" s="8" t="str">
        <f t="shared" si="9"/>
        <v/>
      </c>
      <c r="AE63" s="8" t="str">
        <f t="shared" si="10"/>
        <v/>
      </c>
      <c r="AJ63" s="3" t="str">
        <f t="shared" si="11"/>
        <v/>
      </c>
      <c r="AK63" s="3" t="str">
        <f t="shared" si="12"/>
        <v/>
      </c>
      <c r="AL63" s="9" t="str">
        <f t="shared" si="13"/>
        <v/>
      </c>
      <c r="AM63" t="str">
        <f t="shared" si="14"/>
        <v/>
      </c>
      <c r="AS63" t="str">
        <f t="shared" si="15"/>
        <v/>
      </c>
      <c r="AX63" t="s">
        <v>258</v>
      </c>
      <c r="AZ63" t="s">
        <v>259</v>
      </c>
    </row>
    <row r="64" spans="22:52" x14ac:dyDescent="0.25">
      <c r="V64" s="1" t="str">
        <f t="shared" si="8"/>
        <v/>
      </c>
      <c r="AC64" s="8" t="str">
        <f t="shared" si="9"/>
        <v/>
      </c>
      <c r="AE64" s="8" t="str">
        <f t="shared" si="10"/>
        <v/>
      </c>
      <c r="AJ64" s="3" t="str">
        <f t="shared" si="11"/>
        <v/>
      </c>
      <c r="AK64" s="3" t="str">
        <f t="shared" si="12"/>
        <v/>
      </c>
      <c r="AL64" s="9" t="str">
        <f t="shared" si="13"/>
        <v/>
      </c>
      <c r="AM64" t="str">
        <f t="shared" si="14"/>
        <v/>
      </c>
      <c r="AS64" t="str">
        <f t="shared" si="15"/>
        <v/>
      </c>
      <c r="AX64" t="s">
        <v>260</v>
      </c>
      <c r="AZ64" t="s">
        <v>261</v>
      </c>
    </row>
    <row r="65" spans="22:52" x14ac:dyDescent="0.25">
      <c r="V65" s="1" t="str">
        <f t="shared" si="8"/>
        <v/>
      </c>
      <c r="AC65" s="8" t="str">
        <f t="shared" si="9"/>
        <v/>
      </c>
      <c r="AE65" s="8" t="str">
        <f t="shared" si="10"/>
        <v/>
      </c>
      <c r="AJ65" s="3" t="str">
        <f t="shared" si="11"/>
        <v/>
      </c>
      <c r="AK65" s="3" t="str">
        <f t="shared" si="12"/>
        <v/>
      </c>
      <c r="AL65" s="9" t="str">
        <f t="shared" si="13"/>
        <v/>
      </c>
      <c r="AM65" t="str">
        <f t="shared" si="14"/>
        <v/>
      </c>
      <c r="AS65" t="str">
        <f t="shared" si="15"/>
        <v/>
      </c>
      <c r="AX65" t="s">
        <v>262</v>
      </c>
      <c r="AZ65" t="s">
        <v>263</v>
      </c>
    </row>
    <row r="66" spans="22:52" x14ac:dyDescent="0.25">
      <c r="V66" s="1" t="str">
        <f t="shared" ref="V66:V101" si="16">IF($R66="","",TRIM(MID($R66,FIND(" - ",$R66)+3,LEN($R66))))</f>
        <v/>
      </c>
      <c r="AC66" s="8" t="str">
        <f t="shared" ref="AC66:AC97" si="17">IF(AND(AA66&lt;&gt;"",AB66&lt;&gt;""),AA66-AB66,IF(AA66&lt;&gt;"",AA66,""))</f>
        <v/>
      </c>
      <c r="AE66" s="8" t="str">
        <f t="shared" ref="AE66:AE97" si="18">IF(AND(Z66&lt;&gt;"",AD66&lt;&gt;""),Z66*AD66,"")</f>
        <v/>
      </c>
      <c r="AJ66" s="3" t="str">
        <f t="shared" ref="AJ66:AJ97" si="19">IF(AI66=18%,ROUND((AC66+AM66)*0.18,2),"")</f>
        <v/>
      </c>
      <c r="AK66" s="3" t="str">
        <f t="shared" ref="AK66:AK101" si="20">IF(AI66=25%,ROUND((AC66+AM66)*0.25,2),"")</f>
        <v/>
      </c>
      <c r="AL66" s="9" t="str">
        <f t="shared" ref="AL66:AL101" si="21">IF(OR($AA66="",$AD66=""),"",IFERROR($AA66/$AD66,0))</f>
        <v/>
      </c>
      <c r="AM66" t="str">
        <f t="shared" ref="AM66:AM101" si="22">IF($AC66="","",
IF($S66="","",
IF(ISNUMBER(SEARCH("exempt",LOWER($S66))),0,
$AC66*(VALUE(SUBSTITUTE($S66,"%",""))/100))))</f>
        <v/>
      </c>
      <c r="AS66" t="str">
        <f t="shared" ref="AS66:AS101" si="23">IF($AC66="","",
SUM($AC66,$AM66,$AQ66,$AN66,$AP66,$AO66,$AR66))</f>
        <v/>
      </c>
      <c r="AX66" t="s">
        <v>264</v>
      </c>
      <c r="AZ66" t="s">
        <v>265</v>
      </c>
    </row>
    <row r="67" spans="22:52" x14ac:dyDescent="0.25">
      <c r="V67" s="1" t="str">
        <f t="shared" si="16"/>
        <v/>
      </c>
      <c r="AC67" s="8" t="str">
        <f t="shared" si="17"/>
        <v/>
      </c>
      <c r="AE67" s="8" t="str">
        <f t="shared" si="18"/>
        <v/>
      </c>
      <c r="AJ67" s="3" t="str">
        <f t="shared" si="19"/>
        <v/>
      </c>
      <c r="AK67" s="3" t="str">
        <f t="shared" si="20"/>
        <v/>
      </c>
      <c r="AL67" s="9" t="str">
        <f t="shared" si="21"/>
        <v/>
      </c>
      <c r="AM67" t="str">
        <f t="shared" si="22"/>
        <v/>
      </c>
      <c r="AS67" t="str">
        <f t="shared" si="23"/>
        <v/>
      </c>
      <c r="AX67" t="s">
        <v>266</v>
      </c>
      <c r="AZ67" t="s">
        <v>267</v>
      </c>
    </row>
    <row r="68" spans="22:52" x14ac:dyDescent="0.25">
      <c r="V68" s="1" t="str">
        <f t="shared" si="16"/>
        <v/>
      </c>
      <c r="AC68" s="8" t="str">
        <f t="shared" si="17"/>
        <v/>
      </c>
      <c r="AE68" s="8" t="str">
        <f t="shared" si="18"/>
        <v/>
      </c>
      <c r="AJ68" s="3" t="str">
        <f t="shared" si="19"/>
        <v/>
      </c>
      <c r="AK68" s="3" t="str">
        <f t="shared" si="20"/>
        <v/>
      </c>
      <c r="AL68" s="9" t="str">
        <f t="shared" si="21"/>
        <v/>
      </c>
      <c r="AM68" t="str">
        <f t="shared" si="22"/>
        <v/>
      </c>
      <c r="AS68" t="str">
        <f t="shared" si="23"/>
        <v/>
      </c>
      <c r="AX68" t="s">
        <v>268</v>
      </c>
      <c r="AZ68" t="s">
        <v>269</v>
      </c>
    </row>
    <row r="69" spans="22:52" x14ac:dyDescent="0.25">
      <c r="V69" s="1" t="str">
        <f t="shared" si="16"/>
        <v/>
      </c>
      <c r="AC69" s="8" t="str">
        <f t="shared" si="17"/>
        <v/>
      </c>
      <c r="AE69" s="8" t="str">
        <f t="shared" si="18"/>
        <v/>
      </c>
      <c r="AJ69" s="3" t="str">
        <f t="shared" si="19"/>
        <v/>
      </c>
      <c r="AK69" s="3" t="str">
        <f t="shared" si="20"/>
        <v/>
      </c>
      <c r="AL69" s="9" t="str">
        <f t="shared" si="21"/>
        <v/>
      </c>
      <c r="AM69" t="str">
        <f t="shared" si="22"/>
        <v/>
      </c>
      <c r="AS69" t="str">
        <f t="shared" si="23"/>
        <v/>
      </c>
      <c r="AZ69" t="s">
        <v>270</v>
      </c>
    </row>
    <row r="70" spans="22:52" x14ac:dyDescent="0.25">
      <c r="V70" s="1" t="str">
        <f t="shared" si="16"/>
        <v/>
      </c>
      <c r="AC70" s="8" t="str">
        <f t="shared" si="17"/>
        <v/>
      </c>
      <c r="AE70" s="8" t="str">
        <f t="shared" si="18"/>
        <v/>
      </c>
      <c r="AJ70" s="3" t="str">
        <f t="shared" si="19"/>
        <v/>
      </c>
      <c r="AK70" s="3" t="str">
        <f t="shared" si="20"/>
        <v/>
      </c>
      <c r="AL70" s="9" t="str">
        <f t="shared" si="21"/>
        <v/>
      </c>
      <c r="AM70" t="str">
        <f t="shared" si="22"/>
        <v/>
      </c>
      <c r="AS70" t="str">
        <f t="shared" si="23"/>
        <v/>
      </c>
      <c r="AZ70" t="s">
        <v>271</v>
      </c>
    </row>
    <row r="71" spans="22:52" x14ac:dyDescent="0.25">
      <c r="V71" s="1" t="str">
        <f t="shared" si="16"/>
        <v/>
      </c>
      <c r="AC71" s="8" t="str">
        <f t="shared" si="17"/>
        <v/>
      </c>
      <c r="AE71" s="8" t="str">
        <f t="shared" si="18"/>
        <v/>
      </c>
      <c r="AJ71" s="3" t="str">
        <f t="shared" si="19"/>
        <v/>
      </c>
      <c r="AK71" s="3" t="str">
        <f t="shared" si="20"/>
        <v/>
      </c>
      <c r="AL71" s="9" t="str">
        <f t="shared" si="21"/>
        <v/>
      </c>
      <c r="AM71" t="str">
        <f t="shared" si="22"/>
        <v/>
      </c>
      <c r="AS71" t="str">
        <f t="shared" si="23"/>
        <v/>
      </c>
      <c r="AZ71" t="s">
        <v>272</v>
      </c>
    </row>
    <row r="72" spans="22:52" x14ac:dyDescent="0.25">
      <c r="V72" s="1" t="str">
        <f t="shared" si="16"/>
        <v/>
      </c>
      <c r="AC72" s="8" t="str">
        <f t="shared" si="17"/>
        <v/>
      </c>
      <c r="AE72" s="8" t="str">
        <f t="shared" si="18"/>
        <v/>
      </c>
      <c r="AJ72" s="3" t="str">
        <f t="shared" si="19"/>
        <v/>
      </c>
      <c r="AK72" s="3" t="str">
        <f t="shared" si="20"/>
        <v/>
      </c>
      <c r="AL72" s="9" t="str">
        <f t="shared" si="21"/>
        <v/>
      </c>
      <c r="AM72" t="str">
        <f t="shared" si="22"/>
        <v/>
      </c>
      <c r="AS72" t="str">
        <f t="shared" si="23"/>
        <v/>
      </c>
      <c r="AZ72" t="s">
        <v>273</v>
      </c>
    </row>
    <row r="73" spans="22:52" x14ac:dyDescent="0.25">
      <c r="V73" s="1" t="str">
        <f t="shared" si="16"/>
        <v/>
      </c>
      <c r="AC73" s="8" t="str">
        <f t="shared" si="17"/>
        <v/>
      </c>
      <c r="AE73" s="8" t="str">
        <f t="shared" si="18"/>
        <v/>
      </c>
      <c r="AJ73" s="3" t="str">
        <f t="shared" si="19"/>
        <v/>
      </c>
      <c r="AK73" s="3" t="str">
        <f t="shared" si="20"/>
        <v/>
      </c>
      <c r="AL73" s="9" t="str">
        <f t="shared" si="21"/>
        <v/>
      </c>
      <c r="AM73" t="str">
        <f t="shared" si="22"/>
        <v/>
      </c>
      <c r="AS73" t="str">
        <f t="shared" si="23"/>
        <v/>
      </c>
      <c r="AZ73" t="s">
        <v>274</v>
      </c>
    </row>
    <row r="74" spans="22:52" x14ac:dyDescent="0.25">
      <c r="V74" s="1" t="str">
        <f t="shared" si="16"/>
        <v/>
      </c>
      <c r="AC74" s="8" t="str">
        <f t="shared" si="17"/>
        <v/>
      </c>
      <c r="AE74" s="8" t="str">
        <f t="shared" si="18"/>
        <v/>
      </c>
      <c r="AJ74" s="3" t="str">
        <f t="shared" si="19"/>
        <v/>
      </c>
      <c r="AK74" s="3" t="str">
        <f t="shared" si="20"/>
        <v/>
      </c>
      <c r="AL74" s="9" t="str">
        <f t="shared" si="21"/>
        <v/>
      </c>
      <c r="AM74" t="str">
        <f t="shared" si="22"/>
        <v/>
      </c>
      <c r="AS74" t="str">
        <f t="shared" si="23"/>
        <v/>
      </c>
      <c r="AZ74" t="s">
        <v>275</v>
      </c>
    </row>
    <row r="75" spans="22:52" x14ac:dyDescent="0.25">
      <c r="V75" s="1" t="str">
        <f t="shared" si="16"/>
        <v/>
      </c>
      <c r="AC75" s="8" t="str">
        <f t="shared" si="17"/>
        <v/>
      </c>
      <c r="AE75" s="8" t="str">
        <f t="shared" si="18"/>
        <v/>
      </c>
      <c r="AJ75" s="3" t="str">
        <f t="shared" si="19"/>
        <v/>
      </c>
      <c r="AK75" s="3" t="str">
        <f t="shared" si="20"/>
        <v/>
      </c>
      <c r="AL75" s="9" t="str">
        <f t="shared" si="21"/>
        <v/>
      </c>
      <c r="AM75" t="str">
        <f t="shared" si="22"/>
        <v/>
      </c>
      <c r="AS75" t="str">
        <f t="shared" si="23"/>
        <v/>
      </c>
      <c r="AZ75" t="s">
        <v>276</v>
      </c>
    </row>
    <row r="76" spans="22:52" x14ac:dyDescent="0.25">
      <c r="V76" s="1" t="str">
        <f t="shared" si="16"/>
        <v/>
      </c>
      <c r="AC76" s="8" t="str">
        <f t="shared" si="17"/>
        <v/>
      </c>
      <c r="AE76" s="8" t="str">
        <f t="shared" si="18"/>
        <v/>
      </c>
      <c r="AJ76" s="3" t="str">
        <f t="shared" si="19"/>
        <v/>
      </c>
      <c r="AK76" s="3" t="str">
        <f t="shared" si="20"/>
        <v/>
      </c>
      <c r="AL76" s="9" t="str">
        <f t="shared" si="21"/>
        <v/>
      </c>
      <c r="AM76" t="str">
        <f t="shared" si="22"/>
        <v/>
      </c>
      <c r="AS76" t="str">
        <f t="shared" si="23"/>
        <v/>
      </c>
      <c r="AZ76" t="s">
        <v>277</v>
      </c>
    </row>
    <row r="77" spans="22:52" x14ac:dyDescent="0.25">
      <c r="V77" s="1" t="str">
        <f t="shared" si="16"/>
        <v/>
      </c>
      <c r="AC77" s="8" t="str">
        <f t="shared" si="17"/>
        <v/>
      </c>
      <c r="AE77" s="8" t="str">
        <f t="shared" si="18"/>
        <v/>
      </c>
      <c r="AJ77" s="3" t="str">
        <f t="shared" si="19"/>
        <v/>
      </c>
      <c r="AK77" s="3" t="str">
        <f t="shared" si="20"/>
        <v/>
      </c>
      <c r="AL77" s="9" t="str">
        <f t="shared" si="21"/>
        <v/>
      </c>
      <c r="AM77" t="str">
        <f t="shared" si="22"/>
        <v/>
      </c>
      <c r="AS77" t="str">
        <f t="shared" si="23"/>
        <v/>
      </c>
      <c r="AZ77" t="s">
        <v>278</v>
      </c>
    </row>
    <row r="78" spans="22:52" x14ac:dyDescent="0.25">
      <c r="V78" s="1" t="str">
        <f t="shared" si="16"/>
        <v/>
      </c>
      <c r="AC78" s="8" t="str">
        <f t="shared" si="17"/>
        <v/>
      </c>
      <c r="AE78" s="8" t="str">
        <f t="shared" si="18"/>
        <v/>
      </c>
      <c r="AJ78" s="3" t="str">
        <f t="shared" si="19"/>
        <v/>
      </c>
      <c r="AK78" s="3" t="str">
        <f t="shared" si="20"/>
        <v/>
      </c>
      <c r="AL78" s="9" t="str">
        <f t="shared" si="21"/>
        <v/>
      </c>
      <c r="AM78" t="str">
        <f t="shared" si="22"/>
        <v/>
      </c>
      <c r="AS78" t="str">
        <f t="shared" si="23"/>
        <v/>
      </c>
      <c r="AZ78" t="s">
        <v>279</v>
      </c>
    </row>
    <row r="79" spans="22:52" x14ac:dyDescent="0.25">
      <c r="V79" s="1" t="str">
        <f t="shared" si="16"/>
        <v/>
      </c>
      <c r="AC79" s="8" t="str">
        <f t="shared" si="17"/>
        <v/>
      </c>
      <c r="AE79" s="8" t="str">
        <f t="shared" si="18"/>
        <v/>
      </c>
      <c r="AJ79" s="3" t="str">
        <f t="shared" si="19"/>
        <v/>
      </c>
      <c r="AK79" s="3" t="str">
        <f t="shared" si="20"/>
        <v/>
      </c>
      <c r="AL79" s="9" t="str">
        <f t="shared" si="21"/>
        <v/>
      </c>
      <c r="AM79" t="str">
        <f t="shared" si="22"/>
        <v/>
      </c>
      <c r="AS79" t="str">
        <f t="shared" si="23"/>
        <v/>
      </c>
      <c r="AZ79" t="s">
        <v>280</v>
      </c>
    </row>
    <row r="80" spans="22:52" x14ac:dyDescent="0.25">
      <c r="V80" s="1" t="str">
        <f t="shared" si="16"/>
        <v/>
      </c>
      <c r="AC80" s="8" t="str">
        <f t="shared" si="17"/>
        <v/>
      </c>
      <c r="AE80" s="8" t="str">
        <f t="shared" si="18"/>
        <v/>
      </c>
      <c r="AJ80" s="3" t="str">
        <f t="shared" si="19"/>
        <v/>
      </c>
      <c r="AK80" s="3" t="str">
        <f t="shared" si="20"/>
        <v/>
      </c>
      <c r="AL80" s="9" t="str">
        <f t="shared" si="21"/>
        <v/>
      </c>
      <c r="AM80" t="str">
        <f t="shared" si="22"/>
        <v/>
      </c>
      <c r="AS80" t="str">
        <f t="shared" si="23"/>
        <v/>
      </c>
      <c r="AZ80" t="s">
        <v>281</v>
      </c>
    </row>
    <row r="81" spans="22:52" x14ac:dyDescent="0.25">
      <c r="V81" s="1" t="str">
        <f t="shared" si="16"/>
        <v/>
      </c>
      <c r="AC81" s="8" t="str">
        <f t="shared" si="17"/>
        <v/>
      </c>
      <c r="AE81" s="8" t="str">
        <f t="shared" si="18"/>
        <v/>
      </c>
      <c r="AJ81" s="3" t="str">
        <f t="shared" si="19"/>
        <v/>
      </c>
      <c r="AK81" s="3" t="str">
        <f t="shared" si="20"/>
        <v/>
      </c>
      <c r="AL81" s="9" t="str">
        <f t="shared" si="21"/>
        <v/>
      </c>
      <c r="AM81" t="str">
        <f t="shared" si="22"/>
        <v/>
      </c>
      <c r="AS81" t="str">
        <f t="shared" si="23"/>
        <v/>
      </c>
      <c r="AZ81" t="s">
        <v>282</v>
      </c>
    </row>
    <row r="82" spans="22:52" x14ac:dyDescent="0.25">
      <c r="V82" s="1" t="str">
        <f t="shared" si="16"/>
        <v/>
      </c>
      <c r="AC82" s="8" t="str">
        <f t="shared" si="17"/>
        <v/>
      </c>
      <c r="AE82" s="8" t="str">
        <f t="shared" si="18"/>
        <v/>
      </c>
      <c r="AJ82" s="3" t="str">
        <f t="shared" si="19"/>
        <v/>
      </c>
      <c r="AK82" s="3" t="str">
        <f t="shared" si="20"/>
        <v/>
      </c>
      <c r="AL82" s="9" t="str">
        <f t="shared" si="21"/>
        <v/>
      </c>
      <c r="AM82" t="str">
        <f t="shared" si="22"/>
        <v/>
      </c>
      <c r="AS82" t="str">
        <f t="shared" si="23"/>
        <v/>
      </c>
      <c r="AZ82" t="s">
        <v>283</v>
      </c>
    </row>
    <row r="83" spans="22:52" x14ac:dyDescent="0.25">
      <c r="V83" s="1" t="str">
        <f t="shared" si="16"/>
        <v/>
      </c>
      <c r="AC83" s="8" t="str">
        <f t="shared" si="17"/>
        <v/>
      </c>
      <c r="AE83" s="8" t="str">
        <f t="shared" si="18"/>
        <v/>
      </c>
      <c r="AJ83" s="3" t="str">
        <f t="shared" si="19"/>
        <v/>
      </c>
      <c r="AK83" s="3" t="str">
        <f t="shared" si="20"/>
        <v/>
      </c>
      <c r="AL83" s="9" t="str">
        <f t="shared" si="21"/>
        <v/>
      </c>
      <c r="AM83" t="str">
        <f t="shared" si="22"/>
        <v/>
      </c>
      <c r="AS83" t="str">
        <f t="shared" si="23"/>
        <v/>
      </c>
      <c r="AZ83" t="s">
        <v>284</v>
      </c>
    </row>
    <row r="84" spans="22:52" x14ac:dyDescent="0.25">
      <c r="V84" s="1" t="str">
        <f t="shared" si="16"/>
        <v/>
      </c>
      <c r="AC84" s="8" t="str">
        <f t="shared" si="17"/>
        <v/>
      </c>
      <c r="AE84" s="8" t="str">
        <f t="shared" si="18"/>
        <v/>
      </c>
      <c r="AJ84" s="3" t="str">
        <f t="shared" si="19"/>
        <v/>
      </c>
      <c r="AK84" s="3" t="str">
        <f t="shared" si="20"/>
        <v/>
      </c>
      <c r="AL84" s="9" t="str">
        <f t="shared" si="21"/>
        <v/>
      </c>
      <c r="AM84" t="str">
        <f t="shared" si="22"/>
        <v/>
      </c>
      <c r="AS84" t="str">
        <f t="shared" si="23"/>
        <v/>
      </c>
      <c r="AZ84" t="s">
        <v>285</v>
      </c>
    </row>
    <row r="85" spans="22:52" x14ac:dyDescent="0.25">
      <c r="V85" s="1" t="str">
        <f t="shared" si="16"/>
        <v/>
      </c>
      <c r="AC85" s="8" t="str">
        <f t="shared" si="17"/>
        <v/>
      </c>
      <c r="AE85" s="8" t="str">
        <f t="shared" si="18"/>
        <v/>
      </c>
      <c r="AJ85" s="3" t="str">
        <f t="shared" si="19"/>
        <v/>
      </c>
      <c r="AK85" s="3" t="str">
        <f t="shared" si="20"/>
        <v/>
      </c>
      <c r="AL85" s="9" t="str">
        <f t="shared" si="21"/>
        <v/>
      </c>
      <c r="AM85" t="str">
        <f t="shared" si="22"/>
        <v/>
      </c>
      <c r="AS85" t="str">
        <f t="shared" si="23"/>
        <v/>
      </c>
      <c r="AZ85" t="s">
        <v>286</v>
      </c>
    </row>
    <row r="86" spans="22:52" x14ac:dyDescent="0.25">
      <c r="V86" s="1" t="str">
        <f t="shared" si="16"/>
        <v/>
      </c>
      <c r="AC86" s="8" t="str">
        <f t="shared" si="17"/>
        <v/>
      </c>
      <c r="AE86" s="8" t="str">
        <f t="shared" si="18"/>
        <v/>
      </c>
      <c r="AJ86" s="3" t="str">
        <f t="shared" si="19"/>
        <v/>
      </c>
      <c r="AK86" s="3" t="str">
        <f t="shared" si="20"/>
        <v/>
      </c>
      <c r="AL86" s="9" t="str">
        <f t="shared" si="21"/>
        <v/>
      </c>
      <c r="AM86" t="str">
        <f t="shared" si="22"/>
        <v/>
      </c>
      <c r="AS86" t="str">
        <f t="shared" si="23"/>
        <v/>
      </c>
      <c r="AZ86" t="s">
        <v>287</v>
      </c>
    </row>
    <row r="87" spans="22:52" x14ac:dyDescent="0.25">
      <c r="V87" s="1" t="str">
        <f t="shared" si="16"/>
        <v/>
      </c>
      <c r="AC87" s="8" t="str">
        <f t="shared" si="17"/>
        <v/>
      </c>
      <c r="AE87" s="8" t="str">
        <f t="shared" si="18"/>
        <v/>
      </c>
      <c r="AJ87" s="3" t="str">
        <f t="shared" si="19"/>
        <v/>
      </c>
      <c r="AK87" s="3" t="str">
        <f t="shared" si="20"/>
        <v/>
      </c>
      <c r="AL87" s="9" t="str">
        <f t="shared" si="21"/>
        <v/>
      </c>
      <c r="AM87" t="str">
        <f t="shared" si="22"/>
        <v/>
      </c>
      <c r="AS87" t="str">
        <f t="shared" si="23"/>
        <v/>
      </c>
      <c r="AZ87" t="s">
        <v>288</v>
      </c>
    </row>
    <row r="88" spans="22:52" x14ac:dyDescent="0.25">
      <c r="V88" s="1" t="str">
        <f t="shared" si="16"/>
        <v/>
      </c>
      <c r="AC88" s="8" t="str">
        <f t="shared" si="17"/>
        <v/>
      </c>
      <c r="AE88" s="8" t="str">
        <f t="shared" si="18"/>
        <v/>
      </c>
      <c r="AJ88" s="3" t="str">
        <f t="shared" si="19"/>
        <v/>
      </c>
      <c r="AK88" s="3" t="str">
        <f t="shared" si="20"/>
        <v/>
      </c>
      <c r="AL88" s="9" t="str">
        <f t="shared" si="21"/>
        <v/>
      </c>
      <c r="AM88" t="str">
        <f t="shared" si="22"/>
        <v/>
      </c>
      <c r="AS88" t="str">
        <f t="shared" si="23"/>
        <v/>
      </c>
      <c r="AZ88" t="s">
        <v>289</v>
      </c>
    </row>
    <row r="89" spans="22:52" x14ac:dyDescent="0.25">
      <c r="V89" s="1" t="str">
        <f t="shared" si="16"/>
        <v/>
      </c>
      <c r="AC89" s="8" t="str">
        <f t="shared" si="17"/>
        <v/>
      </c>
      <c r="AE89" s="8" t="str">
        <f t="shared" si="18"/>
        <v/>
      </c>
      <c r="AJ89" s="3" t="str">
        <f t="shared" si="19"/>
        <v/>
      </c>
      <c r="AK89" s="3" t="str">
        <f t="shared" si="20"/>
        <v/>
      </c>
      <c r="AL89" s="9" t="str">
        <f t="shared" si="21"/>
        <v/>
      </c>
      <c r="AM89" t="str">
        <f t="shared" si="22"/>
        <v/>
      </c>
      <c r="AS89" t="str">
        <f t="shared" si="23"/>
        <v/>
      </c>
      <c r="AZ89" t="s">
        <v>290</v>
      </c>
    </row>
    <row r="90" spans="22:52" x14ac:dyDescent="0.25">
      <c r="V90" s="1" t="str">
        <f t="shared" si="16"/>
        <v/>
      </c>
      <c r="AC90" s="8" t="str">
        <f t="shared" si="17"/>
        <v/>
      </c>
      <c r="AE90" s="8" t="str">
        <f t="shared" si="18"/>
        <v/>
      </c>
      <c r="AJ90" s="3" t="str">
        <f t="shared" si="19"/>
        <v/>
      </c>
      <c r="AK90" s="3" t="str">
        <f t="shared" si="20"/>
        <v/>
      </c>
      <c r="AL90" s="9" t="str">
        <f t="shared" si="21"/>
        <v/>
      </c>
      <c r="AM90" t="str">
        <f t="shared" si="22"/>
        <v/>
      </c>
      <c r="AS90" t="str">
        <f t="shared" si="23"/>
        <v/>
      </c>
      <c r="AZ90" t="s">
        <v>291</v>
      </c>
    </row>
    <row r="91" spans="22:52" x14ac:dyDescent="0.25">
      <c r="V91" s="1" t="str">
        <f t="shared" si="16"/>
        <v/>
      </c>
      <c r="AC91" s="8" t="str">
        <f t="shared" si="17"/>
        <v/>
      </c>
      <c r="AE91" s="8" t="str">
        <f t="shared" si="18"/>
        <v/>
      </c>
      <c r="AJ91" s="3" t="str">
        <f t="shared" si="19"/>
        <v/>
      </c>
      <c r="AK91" s="3" t="str">
        <f t="shared" si="20"/>
        <v/>
      </c>
      <c r="AL91" s="9" t="str">
        <f t="shared" si="21"/>
        <v/>
      </c>
      <c r="AM91" t="str">
        <f t="shared" si="22"/>
        <v/>
      </c>
      <c r="AS91" t="str">
        <f t="shared" si="23"/>
        <v/>
      </c>
      <c r="AZ91" t="s">
        <v>292</v>
      </c>
    </row>
    <row r="92" spans="22:52" x14ac:dyDescent="0.25">
      <c r="V92" s="1" t="str">
        <f t="shared" si="16"/>
        <v/>
      </c>
      <c r="AC92" s="8" t="str">
        <f t="shared" si="17"/>
        <v/>
      </c>
      <c r="AE92" s="8" t="str">
        <f t="shared" si="18"/>
        <v/>
      </c>
      <c r="AJ92" s="3" t="str">
        <f t="shared" si="19"/>
        <v/>
      </c>
      <c r="AK92" s="3" t="str">
        <f t="shared" si="20"/>
        <v/>
      </c>
      <c r="AL92" s="9" t="str">
        <f t="shared" si="21"/>
        <v/>
      </c>
      <c r="AM92" t="str">
        <f t="shared" si="22"/>
        <v/>
      </c>
      <c r="AS92" t="str">
        <f t="shared" si="23"/>
        <v/>
      </c>
      <c r="AZ92" t="s">
        <v>293</v>
      </c>
    </row>
    <row r="93" spans="22:52" x14ac:dyDescent="0.25">
      <c r="V93" s="1" t="str">
        <f t="shared" si="16"/>
        <v/>
      </c>
      <c r="AC93" s="8" t="str">
        <f t="shared" si="17"/>
        <v/>
      </c>
      <c r="AE93" s="8" t="str">
        <f t="shared" si="18"/>
        <v/>
      </c>
      <c r="AJ93" s="3" t="str">
        <f t="shared" si="19"/>
        <v/>
      </c>
      <c r="AK93" s="3" t="str">
        <f t="shared" si="20"/>
        <v/>
      </c>
      <c r="AL93" s="9" t="str">
        <f t="shared" si="21"/>
        <v/>
      </c>
      <c r="AM93" t="str">
        <f t="shared" si="22"/>
        <v/>
      </c>
      <c r="AS93" t="str">
        <f t="shared" si="23"/>
        <v/>
      </c>
      <c r="AZ93" t="s">
        <v>294</v>
      </c>
    </row>
    <row r="94" spans="22:52" x14ac:dyDescent="0.25">
      <c r="V94" s="1" t="str">
        <f t="shared" si="16"/>
        <v/>
      </c>
      <c r="AC94" s="8" t="str">
        <f t="shared" si="17"/>
        <v/>
      </c>
      <c r="AE94" s="8" t="str">
        <f t="shared" si="18"/>
        <v/>
      </c>
      <c r="AJ94" s="3" t="str">
        <f t="shared" si="19"/>
        <v/>
      </c>
      <c r="AK94" s="3" t="str">
        <f t="shared" si="20"/>
        <v/>
      </c>
      <c r="AL94" s="9" t="str">
        <f t="shared" si="21"/>
        <v/>
      </c>
      <c r="AM94" t="str">
        <f t="shared" si="22"/>
        <v/>
      </c>
      <c r="AS94" t="str">
        <f t="shared" si="23"/>
        <v/>
      </c>
      <c r="AZ94" t="s">
        <v>295</v>
      </c>
    </row>
    <row r="95" spans="22:52" x14ac:dyDescent="0.25">
      <c r="V95" s="1" t="str">
        <f t="shared" si="16"/>
        <v/>
      </c>
      <c r="AC95" s="8" t="str">
        <f t="shared" si="17"/>
        <v/>
      </c>
      <c r="AE95" s="8" t="str">
        <f t="shared" si="18"/>
        <v/>
      </c>
      <c r="AJ95" s="3" t="str">
        <f t="shared" si="19"/>
        <v/>
      </c>
      <c r="AK95" s="3" t="str">
        <f t="shared" si="20"/>
        <v/>
      </c>
      <c r="AL95" s="9" t="str">
        <f t="shared" si="21"/>
        <v/>
      </c>
      <c r="AM95" t="str">
        <f t="shared" si="22"/>
        <v/>
      </c>
      <c r="AS95" t="str">
        <f t="shared" si="23"/>
        <v/>
      </c>
      <c r="AZ95" t="s">
        <v>296</v>
      </c>
    </row>
    <row r="96" spans="22:52" x14ac:dyDescent="0.25">
      <c r="V96" s="1" t="str">
        <f t="shared" si="16"/>
        <v/>
      </c>
      <c r="AC96" s="8" t="str">
        <f t="shared" si="17"/>
        <v/>
      </c>
      <c r="AE96" s="8" t="str">
        <f t="shared" si="18"/>
        <v/>
      </c>
      <c r="AJ96" s="3" t="str">
        <f t="shared" si="19"/>
        <v/>
      </c>
      <c r="AK96" s="3" t="str">
        <f t="shared" si="20"/>
        <v/>
      </c>
      <c r="AL96" s="9" t="str">
        <f t="shared" si="21"/>
        <v/>
      </c>
      <c r="AM96" t="str">
        <f t="shared" si="22"/>
        <v/>
      </c>
      <c r="AS96" t="str">
        <f t="shared" si="23"/>
        <v/>
      </c>
      <c r="AZ96" t="s">
        <v>297</v>
      </c>
    </row>
    <row r="97" spans="1:52" x14ac:dyDescent="0.25">
      <c r="V97" s="1" t="str">
        <f t="shared" si="16"/>
        <v/>
      </c>
      <c r="AC97" s="8" t="str">
        <f t="shared" si="17"/>
        <v/>
      </c>
      <c r="AE97" s="8" t="str">
        <f t="shared" si="18"/>
        <v/>
      </c>
      <c r="AJ97" s="3" t="str">
        <f t="shared" si="19"/>
        <v/>
      </c>
      <c r="AK97" s="3" t="str">
        <f t="shared" si="20"/>
        <v/>
      </c>
      <c r="AL97" s="9" t="str">
        <f t="shared" si="21"/>
        <v/>
      </c>
      <c r="AM97" t="str">
        <f t="shared" si="22"/>
        <v/>
      </c>
      <c r="AS97" t="str">
        <f t="shared" si="23"/>
        <v/>
      </c>
      <c r="AZ97" t="s">
        <v>298</v>
      </c>
    </row>
    <row r="98" spans="1:52" x14ac:dyDescent="0.25">
      <c r="V98" s="1" t="str">
        <f t="shared" si="16"/>
        <v/>
      </c>
      <c r="AC98" s="8" t="str">
        <f t="shared" ref="AC98:AC129" si="24">IF(AND(AA98&lt;&gt;"",AB98&lt;&gt;""),AA98-AB98,IF(AA98&lt;&gt;"",AA98,""))</f>
        <v/>
      </c>
      <c r="AE98" s="8" t="str">
        <f t="shared" ref="AE98:AE129" si="25">IF(AND(Z98&lt;&gt;"",AD98&lt;&gt;""),Z98*AD98,"")</f>
        <v/>
      </c>
      <c r="AJ98" s="3" t="str">
        <f t="shared" ref="AJ98:AJ129" si="26">IF(AI98=18%,ROUND((AC98+AM98)*0.18,2),"")</f>
        <v/>
      </c>
      <c r="AK98" s="3" t="str">
        <f t="shared" si="20"/>
        <v/>
      </c>
      <c r="AL98" s="9" t="str">
        <f t="shared" si="21"/>
        <v/>
      </c>
      <c r="AM98" t="str">
        <f t="shared" si="22"/>
        <v/>
      </c>
      <c r="AS98" t="str">
        <f t="shared" si="23"/>
        <v/>
      </c>
      <c r="AZ98" t="s">
        <v>299</v>
      </c>
    </row>
    <row r="99" spans="1:52" x14ac:dyDescent="0.25">
      <c r="V99" s="1" t="str">
        <f t="shared" si="16"/>
        <v/>
      </c>
      <c r="AC99" s="8" t="str">
        <f t="shared" si="24"/>
        <v/>
      </c>
      <c r="AE99" s="8" t="str">
        <f t="shared" si="25"/>
        <v/>
      </c>
      <c r="AJ99" s="3" t="str">
        <f t="shared" si="26"/>
        <v/>
      </c>
      <c r="AK99" s="3" t="str">
        <f t="shared" si="20"/>
        <v/>
      </c>
      <c r="AL99" s="9" t="str">
        <f t="shared" si="21"/>
        <v/>
      </c>
      <c r="AM99" t="str">
        <f t="shared" si="22"/>
        <v/>
      </c>
      <c r="AS99" t="str">
        <f t="shared" si="23"/>
        <v/>
      </c>
      <c r="AZ99" t="s">
        <v>300</v>
      </c>
    </row>
    <row r="100" spans="1:52" x14ac:dyDescent="0.25">
      <c r="V100" s="1" t="str">
        <f t="shared" si="16"/>
        <v/>
      </c>
      <c r="AC100" s="8" t="str">
        <f t="shared" si="24"/>
        <v/>
      </c>
      <c r="AE100" s="8" t="str">
        <f t="shared" si="25"/>
        <v/>
      </c>
      <c r="AJ100" s="3" t="str">
        <f t="shared" si="26"/>
        <v/>
      </c>
      <c r="AK100" s="3" t="str">
        <f t="shared" si="20"/>
        <v/>
      </c>
      <c r="AL100" s="9" t="str">
        <f t="shared" si="21"/>
        <v/>
      </c>
      <c r="AM100" t="str">
        <f t="shared" si="22"/>
        <v/>
      </c>
      <c r="AS100" t="str">
        <f t="shared" si="23"/>
        <v/>
      </c>
      <c r="AZ100" t="s">
        <v>301</v>
      </c>
    </row>
    <row r="101" spans="1:52" x14ac:dyDescent="0.25">
      <c r="V101" s="1" t="str">
        <f t="shared" si="16"/>
        <v/>
      </c>
      <c r="AC101" s="8" t="str">
        <f t="shared" si="24"/>
        <v/>
      </c>
      <c r="AE101" s="8" t="str">
        <f t="shared" si="25"/>
        <v/>
      </c>
      <c r="AJ101" s="3" t="str">
        <f t="shared" si="26"/>
        <v/>
      </c>
      <c r="AK101" s="3" t="str">
        <f t="shared" si="20"/>
        <v/>
      </c>
      <c r="AL101" s="9" t="str">
        <f t="shared" si="21"/>
        <v/>
      </c>
      <c r="AM101" t="str">
        <f t="shared" si="22"/>
        <v/>
      </c>
      <c r="AS101" t="str">
        <f t="shared" si="23"/>
        <v/>
      </c>
      <c r="AZ101" t="s">
        <v>302</v>
      </c>
    </row>
    <row r="102" spans="1:52" x14ac:dyDescent="0.25">
      <c r="A102" t="s">
        <v>303</v>
      </c>
      <c r="AZ102" t="s">
        <v>304</v>
      </c>
    </row>
    <row r="103" spans="1:52" x14ac:dyDescent="0.25">
      <c r="AZ103" t="s">
        <v>305</v>
      </c>
    </row>
    <row r="104" spans="1:52" x14ac:dyDescent="0.25">
      <c r="A104" s="10" t="s">
        <v>306</v>
      </c>
      <c r="AZ104" t="s">
        <v>307</v>
      </c>
    </row>
    <row r="105" spans="1:52" x14ac:dyDescent="0.25">
      <c r="A105" s="11" t="s">
        <v>308</v>
      </c>
      <c r="AZ105" t="s">
        <v>309</v>
      </c>
    </row>
    <row r="106" spans="1:52" x14ac:dyDescent="0.25">
      <c r="A106" s="11" t="s">
        <v>310</v>
      </c>
      <c r="AZ106" t="s">
        <v>311</v>
      </c>
    </row>
    <row r="107" spans="1:52" x14ac:dyDescent="0.25">
      <c r="A107" s="11" t="s">
        <v>312</v>
      </c>
      <c r="AZ107" t="s">
        <v>313</v>
      </c>
    </row>
    <row r="108" spans="1:52" x14ac:dyDescent="0.25">
      <c r="A108" s="11" t="s">
        <v>314</v>
      </c>
      <c r="AZ108" t="s">
        <v>315</v>
      </c>
    </row>
    <row r="109" spans="1:52" x14ac:dyDescent="0.25">
      <c r="A109" s="11" t="s">
        <v>316</v>
      </c>
      <c r="AZ109" t="s">
        <v>317</v>
      </c>
    </row>
    <row r="110" spans="1:52" x14ac:dyDescent="0.25">
      <c r="A110" s="11" t="s">
        <v>318</v>
      </c>
      <c r="AZ110" t="s">
        <v>319</v>
      </c>
    </row>
    <row r="111" spans="1:52" x14ac:dyDescent="0.25">
      <c r="A111" s="11" t="s">
        <v>320</v>
      </c>
      <c r="AZ111" t="s">
        <v>321</v>
      </c>
    </row>
    <row r="112" spans="1:52" x14ac:dyDescent="0.25">
      <c r="A112" s="11" t="s">
        <v>322</v>
      </c>
      <c r="AZ112" t="s">
        <v>323</v>
      </c>
    </row>
    <row r="113" spans="1:52" x14ac:dyDescent="0.25">
      <c r="A113" s="11" t="s">
        <v>324</v>
      </c>
      <c r="AZ113" t="s">
        <v>325</v>
      </c>
    </row>
    <row r="114" spans="1:52" x14ac:dyDescent="0.25">
      <c r="A114" s="11" t="s">
        <v>326</v>
      </c>
      <c r="AZ114" t="s">
        <v>327</v>
      </c>
    </row>
    <row r="115" spans="1:52" x14ac:dyDescent="0.25">
      <c r="A115" s="11" t="s">
        <v>328</v>
      </c>
      <c r="AZ115" t="s">
        <v>329</v>
      </c>
    </row>
    <row r="116" spans="1:52" x14ac:dyDescent="0.25">
      <c r="AZ116" t="s">
        <v>330</v>
      </c>
    </row>
    <row r="117" spans="1:52" x14ac:dyDescent="0.25">
      <c r="AZ117" t="s">
        <v>331</v>
      </c>
    </row>
    <row r="118" spans="1:52" x14ac:dyDescent="0.25">
      <c r="AZ118" t="s">
        <v>332</v>
      </c>
    </row>
    <row r="119" spans="1:52" x14ac:dyDescent="0.25">
      <c r="AZ119" t="s">
        <v>333</v>
      </c>
    </row>
    <row r="120" spans="1:52" x14ac:dyDescent="0.25">
      <c r="AZ120" t="s">
        <v>334</v>
      </c>
    </row>
    <row r="121" spans="1:52" x14ac:dyDescent="0.25">
      <c r="AZ121" t="s">
        <v>335</v>
      </c>
    </row>
    <row r="122" spans="1:52" x14ac:dyDescent="0.25">
      <c r="AZ122" t="s">
        <v>336</v>
      </c>
    </row>
    <row r="123" spans="1:52" x14ac:dyDescent="0.25">
      <c r="AZ123" t="s">
        <v>337</v>
      </c>
    </row>
    <row r="124" spans="1:52" x14ac:dyDescent="0.25">
      <c r="AZ124" t="s">
        <v>338</v>
      </c>
    </row>
    <row r="125" spans="1:52" x14ac:dyDescent="0.25">
      <c r="AZ125" t="s">
        <v>339</v>
      </c>
    </row>
    <row r="126" spans="1:52" x14ac:dyDescent="0.25">
      <c r="AZ126" t="s">
        <v>340</v>
      </c>
    </row>
    <row r="127" spans="1:52" x14ac:dyDescent="0.25">
      <c r="AZ127" t="s">
        <v>341</v>
      </c>
    </row>
    <row r="128" spans="1:52" x14ac:dyDescent="0.25">
      <c r="AZ128" t="s">
        <v>342</v>
      </c>
    </row>
    <row r="129" spans="52:52" x14ac:dyDescent="0.25">
      <c r="AZ129" t="s">
        <v>343</v>
      </c>
    </row>
    <row r="130" spans="52:52" x14ac:dyDescent="0.25">
      <c r="AZ130" t="s">
        <v>344</v>
      </c>
    </row>
    <row r="131" spans="52:52" x14ac:dyDescent="0.25">
      <c r="AZ131" t="s">
        <v>345</v>
      </c>
    </row>
    <row r="132" spans="52:52" x14ac:dyDescent="0.25">
      <c r="AZ132" t="s">
        <v>346</v>
      </c>
    </row>
    <row r="133" spans="52:52" x14ac:dyDescent="0.25">
      <c r="AZ133" t="s">
        <v>347</v>
      </c>
    </row>
    <row r="134" spans="52:52" x14ac:dyDescent="0.25">
      <c r="AZ134" t="s">
        <v>348</v>
      </c>
    </row>
    <row r="135" spans="52:52" x14ac:dyDescent="0.25">
      <c r="AZ135" t="s">
        <v>349</v>
      </c>
    </row>
    <row r="136" spans="52:52" x14ac:dyDescent="0.25">
      <c r="AZ136" t="s">
        <v>350</v>
      </c>
    </row>
    <row r="137" spans="52:52" x14ac:dyDescent="0.25">
      <c r="AZ137" t="s">
        <v>351</v>
      </c>
    </row>
    <row r="138" spans="52:52" x14ac:dyDescent="0.25">
      <c r="AZ138" t="s">
        <v>352</v>
      </c>
    </row>
    <row r="139" spans="52:52" x14ac:dyDescent="0.25">
      <c r="AZ139" t="s">
        <v>353</v>
      </c>
    </row>
    <row r="140" spans="52:52" x14ac:dyDescent="0.25">
      <c r="AZ140" t="s">
        <v>354</v>
      </c>
    </row>
    <row r="141" spans="52:52" x14ac:dyDescent="0.25">
      <c r="AZ141" t="s">
        <v>355</v>
      </c>
    </row>
    <row r="142" spans="52:52" x14ac:dyDescent="0.25">
      <c r="AZ142" t="s">
        <v>356</v>
      </c>
    </row>
    <row r="143" spans="52:52" x14ac:dyDescent="0.25">
      <c r="AZ143" t="s">
        <v>357</v>
      </c>
    </row>
    <row r="144" spans="52:52" x14ac:dyDescent="0.25">
      <c r="AZ144" t="s">
        <v>358</v>
      </c>
    </row>
    <row r="145" spans="52:52" x14ac:dyDescent="0.25">
      <c r="AZ145" t="s">
        <v>359</v>
      </c>
    </row>
    <row r="146" spans="52:52" x14ac:dyDescent="0.25">
      <c r="AZ146" t="s">
        <v>360</v>
      </c>
    </row>
    <row r="147" spans="52:52" x14ac:dyDescent="0.25">
      <c r="AZ147" t="s">
        <v>361</v>
      </c>
    </row>
    <row r="148" spans="52:52" x14ac:dyDescent="0.25">
      <c r="AZ148" t="s">
        <v>362</v>
      </c>
    </row>
    <row r="149" spans="52:52" x14ac:dyDescent="0.25">
      <c r="AZ149" t="s">
        <v>363</v>
      </c>
    </row>
    <row r="150" spans="52:52" x14ac:dyDescent="0.25">
      <c r="AZ150" t="s">
        <v>364</v>
      </c>
    </row>
    <row r="151" spans="52:52" x14ac:dyDescent="0.25">
      <c r="AZ151" t="s">
        <v>365</v>
      </c>
    </row>
    <row r="152" spans="52:52" x14ac:dyDescent="0.25">
      <c r="AZ152" t="s">
        <v>366</v>
      </c>
    </row>
    <row r="153" spans="52:52" x14ac:dyDescent="0.25">
      <c r="AZ153" t="s">
        <v>367</v>
      </c>
    </row>
    <row r="154" spans="52:52" x14ac:dyDescent="0.25">
      <c r="AZ154" t="s">
        <v>368</v>
      </c>
    </row>
    <row r="155" spans="52:52" x14ac:dyDescent="0.25">
      <c r="AZ155" t="s">
        <v>369</v>
      </c>
    </row>
    <row r="156" spans="52:52" x14ac:dyDescent="0.25">
      <c r="AZ156" t="s">
        <v>370</v>
      </c>
    </row>
    <row r="157" spans="52:52" x14ac:dyDescent="0.25">
      <c r="AZ157" t="s">
        <v>371</v>
      </c>
    </row>
    <row r="158" spans="52:52" x14ac:dyDescent="0.25">
      <c r="AZ158" t="s">
        <v>372</v>
      </c>
    </row>
    <row r="159" spans="52:52" x14ac:dyDescent="0.25">
      <c r="AZ159" t="s">
        <v>373</v>
      </c>
    </row>
    <row r="160" spans="52:52" x14ac:dyDescent="0.25">
      <c r="AZ160" t="s">
        <v>374</v>
      </c>
    </row>
    <row r="161" spans="52:52" x14ac:dyDescent="0.25">
      <c r="AZ161" t="s">
        <v>375</v>
      </c>
    </row>
    <row r="162" spans="52:52" x14ac:dyDescent="0.25">
      <c r="AZ162" t="s">
        <v>376</v>
      </c>
    </row>
    <row r="163" spans="52:52" x14ac:dyDescent="0.25">
      <c r="AZ163" t="s">
        <v>377</v>
      </c>
    </row>
    <row r="164" spans="52:52" x14ac:dyDescent="0.25">
      <c r="AZ164" t="s">
        <v>378</v>
      </c>
    </row>
    <row r="165" spans="52:52" x14ac:dyDescent="0.25">
      <c r="AZ165" t="s">
        <v>379</v>
      </c>
    </row>
    <row r="166" spans="52:52" x14ac:dyDescent="0.25">
      <c r="AZ166" t="s">
        <v>380</v>
      </c>
    </row>
    <row r="167" spans="52:52" x14ac:dyDescent="0.25">
      <c r="AZ167" t="s">
        <v>381</v>
      </c>
    </row>
    <row r="168" spans="52:52" x14ac:dyDescent="0.25">
      <c r="AZ168" t="s">
        <v>382</v>
      </c>
    </row>
    <row r="169" spans="52:52" x14ac:dyDescent="0.25">
      <c r="AZ169" t="s">
        <v>383</v>
      </c>
    </row>
    <row r="170" spans="52:52" x14ac:dyDescent="0.25">
      <c r="AZ170" t="s">
        <v>384</v>
      </c>
    </row>
    <row r="171" spans="52:52" x14ac:dyDescent="0.25">
      <c r="AZ171" t="s">
        <v>385</v>
      </c>
    </row>
    <row r="172" spans="52:52" x14ac:dyDescent="0.25">
      <c r="AZ172" t="s">
        <v>386</v>
      </c>
    </row>
    <row r="173" spans="52:52" x14ac:dyDescent="0.25">
      <c r="AZ173" t="s">
        <v>387</v>
      </c>
    </row>
    <row r="174" spans="52:52" x14ac:dyDescent="0.25">
      <c r="AZ174" t="s">
        <v>388</v>
      </c>
    </row>
    <row r="175" spans="52:52" x14ac:dyDescent="0.25">
      <c r="AZ175" t="s">
        <v>389</v>
      </c>
    </row>
    <row r="176" spans="52:52" x14ac:dyDescent="0.25">
      <c r="AZ176" t="s">
        <v>390</v>
      </c>
    </row>
    <row r="177" spans="52:52" x14ac:dyDescent="0.25">
      <c r="AZ177" t="s">
        <v>391</v>
      </c>
    </row>
    <row r="178" spans="52:52" x14ac:dyDescent="0.25">
      <c r="AZ178" t="s">
        <v>392</v>
      </c>
    </row>
    <row r="179" spans="52:52" x14ac:dyDescent="0.25">
      <c r="AZ179" t="s">
        <v>393</v>
      </c>
    </row>
    <row r="180" spans="52:52" x14ac:dyDescent="0.25">
      <c r="AZ180" t="s">
        <v>394</v>
      </c>
    </row>
    <row r="181" spans="52:52" x14ac:dyDescent="0.25">
      <c r="AZ181" t="s">
        <v>395</v>
      </c>
    </row>
    <row r="182" spans="52:52" x14ac:dyDescent="0.25">
      <c r="AZ182" t="s">
        <v>396</v>
      </c>
    </row>
    <row r="183" spans="52:52" x14ac:dyDescent="0.25">
      <c r="AZ183" t="s">
        <v>397</v>
      </c>
    </row>
    <row r="184" spans="52:52" x14ac:dyDescent="0.25">
      <c r="AZ184" t="s">
        <v>398</v>
      </c>
    </row>
    <row r="185" spans="52:52" x14ac:dyDescent="0.25">
      <c r="AZ185" t="s">
        <v>399</v>
      </c>
    </row>
    <row r="186" spans="52:52" x14ac:dyDescent="0.25">
      <c r="AZ186" t="s">
        <v>400</v>
      </c>
    </row>
    <row r="187" spans="52:52" x14ac:dyDescent="0.25">
      <c r="AZ187" t="s">
        <v>401</v>
      </c>
    </row>
    <row r="188" spans="52:52" x14ac:dyDescent="0.25">
      <c r="AZ188" t="s">
        <v>402</v>
      </c>
    </row>
    <row r="189" spans="52:52" x14ac:dyDescent="0.25">
      <c r="AZ189" t="s">
        <v>403</v>
      </c>
    </row>
    <row r="190" spans="52:52" x14ac:dyDescent="0.25">
      <c r="AZ190" t="s">
        <v>404</v>
      </c>
    </row>
    <row r="191" spans="52:52" x14ac:dyDescent="0.25">
      <c r="AZ191" t="s">
        <v>405</v>
      </c>
    </row>
    <row r="192" spans="52:52" x14ac:dyDescent="0.25">
      <c r="AZ192" t="s">
        <v>406</v>
      </c>
    </row>
    <row r="193" spans="52:52" x14ac:dyDescent="0.25">
      <c r="AZ193" t="s">
        <v>407</v>
      </c>
    </row>
    <row r="194" spans="52:52" x14ac:dyDescent="0.25">
      <c r="AZ194" t="s">
        <v>408</v>
      </c>
    </row>
    <row r="195" spans="52:52" x14ac:dyDescent="0.25">
      <c r="AZ195" t="s">
        <v>409</v>
      </c>
    </row>
    <row r="196" spans="52:52" x14ac:dyDescent="0.25">
      <c r="AZ196" t="s">
        <v>410</v>
      </c>
    </row>
    <row r="197" spans="52:52" x14ac:dyDescent="0.25">
      <c r="AZ197" t="s">
        <v>411</v>
      </c>
    </row>
    <row r="198" spans="52:52" x14ac:dyDescent="0.25">
      <c r="AZ198" t="s">
        <v>412</v>
      </c>
    </row>
    <row r="199" spans="52:52" x14ac:dyDescent="0.25">
      <c r="AZ199" t="s">
        <v>413</v>
      </c>
    </row>
    <row r="200" spans="52:52" x14ac:dyDescent="0.25">
      <c r="AZ200" t="s">
        <v>414</v>
      </c>
    </row>
    <row r="201" spans="52:52" x14ac:dyDescent="0.25">
      <c r="AZ201" t="s">
        <v>415</v>
      </c>
    </row>
    <row r="202" spans="52:52" x14ac:dyDescent="0.25">
      <c r="AZ202" t="s">
        <v>416</v>
      </c>
    </row>
    <row r="203" spans="52:52" x14ac:dyDescent="0.25">
      <c r="AZ203" t="s">
        <v>417</v>
      </c>
    </row>
    <row r="204" spans="52:52" x14ac:dyDescent="0.25">
      <c r="AZ204" t="s">
        <v>418</v>
      </c>
    </row>
    <row r="205" spans="52:52" x14ac:dyDescent="0.25">
      <c r="AZ205" t="s">
        <v>419</v>
      </c>
    </row>
    <row r="206" spans="52:52" x14ac:dyDescent="0.25">
      <c r="AZ206" t="s">
        <v>420</v>
      </c>
    </row>
    <row r="207" spans="52:52" x14ac:dyDescent="0.25">
      <c r="AZ207" t="s">
        <v>421</v>
      </c>
    </row>
    <row r="208" spans="52:52" x14ac:dyDescent="0.25">
      <c r="AZ208" t="s">
        <v>422</v>
      </c>
    </row>
    <row r="209" spans="52:52" x14ac:dyDescent="0.25">
      <c r="AZ209" t="s">
        <v>423</v>
      </c>
    </row>
    <row r="210" spans="52:52" x14ac:dyDescent="0.25">
      <c r="AZ210" t="s">
        <v>424</v>
      </c>
    </row>
    <row r="211" spans="52:52" x14ac:dyDescent="0.25">
      <c r="AZ211" t="s">
        <v>425</v>
      </c>
    </row>
    <row r="212" spans="52:52" x14ac:dyDescent="0.25">
      <c r="AZ212" t="s">
        <v>426</v>
      </c>
    </row>
    <row r="213" spans="52:52" x14ac:dyDescent="0.25">
      <c r="AZ213" t="s">
        <v>427</v>
      </c>
    </row>
    <row r="214" spans="52:52" x14ac:dyDescent="0.25">
      <c r="AZ214" t="s">
        <v>428</v>
      </c>
    </row>
    <row r="215" spans="52:52" x14ac:dyDescent="0.25">
      <c r="AZ215" t="s">
        <v>429</v>
      </c>
    </row>
    <row r="216" spans="52:52" x14ac:dyDescent="0.25">
      <c r="AZ216" t="s">
        <v>430</v>
      </c>
    </row>
    <row r="217" spans="52:52" x14ac:dyDescent="0.25">
      <c r="AZ217" t="s">
        <v>431</v>
      </c>
    </row>
    <row r="218" spans="52:52" x14ac:dyDescent="0.25">
      <c r="AZ218" t="s">
        <v>432</v>
      </c>
    </row>
    <row r="219" spans="52:52" x14ac:dyDescent="0.25">
      <c r="AZ219" t="s">
        <v>433</v>
      </c>
    </row>
    <row r="220" spans="52:52" x14ac:dyDescent="0.25">
      <c r="AZ220" t="s">
        <v>434</v>
      </c>
    </row>
    <row r="221" spans="52:52" x14ac:dyDescent="0.25">
      <c r="AZ221" t="s">
        <v>435</v>
      </c>
    </row>
    <row r="222" spans="52:52" x14ac:dyDescent="0.25">
      <c r="AZ222" t="s">
        <v>436</v>
      </c>
    </row>
    <row r="223" spans="52:52" x14ac:dyDescent="0.25">
      <c r="AZ223" t="s">
        <v>437</v>
      </c>
    </row>
    <row r="224" spans="52:52" x14ac:dyDescent="0.25">
      <c r="AZ224" t="s">
        <v>438</v>
      </c>
    </row>
    <row r="225" spans="52:52" x14ac:dyDescent="0.25">
      <c r="AZ225" t="s">
        <v>439</v>
      </c>
    </row>
    <row r="226" spans="52:52" x14ac:dyDescent="0.25">
      <c r="AZ226" t="s">
        <v>440</v>
      </c>
    </row>
    <row r="227" spans="52:52" x14ac:dyDescent="0.25">
      <c r="AZ227" t="s">
        <v>441</v>
      </c>
    </row>
    <row r="228" spans="52:52" x14ac:dyDescent="0.25">
      <c r="AZ228" t="s">
        <v>442</v>
      </c>
    </row>
    <row r="229" spans="52:52" x14ac:dyDescent="0.25">
      <c r="AZ229" t="s">
        <v>443</v>
      </c>
    </row>
    <row r="230" spans="52:52" x14ac:dyDescent="0.25">
      <c r="AZ230" t="s">
        <v>444</v>
      </c>
    </row>
    <row r="231" spans="52:52" x14ac:dyDescent="0.25">
      <c r="AZ231" t="s">
        <v>445</v>
      </c>
    </row>
    <row r="232" spans="52:52" x14ac:dyDescent="0.25">
      <c r="AZ232" t="s">
        <v>446</v>
      </c>
    </row>
    <row r="233" spans="52:52" x14ac:dyDescent="0.25">
      <c r="AZ233" t="s">
        <v>447</v>
      </c>
    </row>
    <row r="234" spans="52:52" x14ac:dyDescent="0.25">
      <c r="AZ234" t="s">
        <v>448</v>
      </c>
    </row>
    <row r="235" spans="52:52" x14ac:dyDescent="0.25">
      <c r="AZ235" t="s">
        <v>449</v>
      </c>
    </row>
    <row r="236" spans="52:52" x14ac:dyDescent="0.25">
      <c r="AZ236" t="s">
        <v>450</v>
      </c>
    </row>
    <row r="237" spans="52:52" x14ac:dyDescent="0.25">
      <c r="AZ237" t="s">
        <v>451</v>
      </c>
    </row>
    <row r="238" spans="52:52" x14ac:dyDescent="0.25">
      <c r="AZ238" t="s">
        <v>452</v>
      </c>
    </row>
    <row r="239" spans="52:52" x14ac:dyDescent="0.25">
      <c r="AZ239" t="s">
        <v>453</v>
      </c>
    </row>
    <row r="240" spans="52:52" x14ac:dyDescent="0.25">
      <c r="AZ240" t="s">
        <v>454</v>
      </c>
    </row>
    <row r="241" spans="52:52" x14ac:dyDescent="0.25">
      <c r="AZ241" t="s">
        <v>455</v>
      </c>
    </row>
    <row r="242" spans="52:52" x14ac:dyDescent="0.25">
      <c r="AZ242" t="s">
        <v>456</v>
      </c>
    </row>
    <row r="243" spans="52:52" x14ac:dyDescent="0.25">
      <c r="AZ243" t="s">
        <v>457</v>
      </c>
    </row>
    <row r="244" spans="52:52" x14ac:dyDescent="0.25">
      <c r="AZ244" t="s">
        <v>458</v>
      </c>
    </row>
    <row r="245" spans="52:52" x14ac:dyDescent="0.25">
      <c r="AZ245" t="s">
        <v>459</v>
      </c>
    </row>
    <row r="246" spans="52:52" x14ac:dyDescent="0.25">
      <c r="AZ246" t="s">
        <v>460</v>
      </c>
    </row>
    <row r="247" spans="52:52" x14ac:dyDescent="0.25">
      <c r="AZ247" t="s">
        <v>461</v>
      </c>
    </row>
    <row r="248" spans="52:52" x14ac:dyDescent="0.25">
      <c r="AZ248" t="s">
        <v>462</v>
      </c>
    </row>
    <row r="249" spans="52:52" x14ac:dyDescent="0.25">
      <c r="AZ249" t="s">
        <v>463</v>
      </c>
    </row>
    <row r="250" spans="52:52" x14ac:dyDescent="0.25">
      <c r="AZ250" t="s">
        <v>464</v>
      </c>
    </row>
    <row r="251" spans="52:52" x14ac:dyDescent="0.25">
      <c r="AZ251" t="s">
        <v>465</v>
      </c>
    </row>
    <row r="252" spans="52:52" x14ac:dyDescent="0.25">
      <c r="AZ252" t="s">
        <v>466</v>
      </c>
    </row>
    <row r="253" spans="52:52" x14ac:dyDescent="0.25">
      <c r="AZ253" t="s">
        <v>467</v>
      </c>
    </row>
    <row r="254" spans="52:52" x14ac:dyDescent="0.25">
      <c r="AZ254" t="s">
        <v>468</v>
      </c>
    </row>
    <row r="255" spans="52:52" x14ac:dyDescent="0.25">
      <c r="AZ255" t="s">
        <v>469</v>
      </c>
    </row>
    <row r="256" spans="52:52" x14ac:dyDescent="0.25">
      <c r="AZ256" t="s">
        <v>470</v>
      </c>
    </row>
    <row r="257" spans="52:52" x14ac:dyDescent="0.25">
      <c r="AZ257" t="s">
        <v>471</v>
      </c>
    </row>
    <row r="258" spans="52:52" x14ac:dyDescent="0.25">
      <c r="AZ258" t="s">
        <v>472</v>
      </c>
    </row>
    <row r="259" spans="52:52" x14ac:dyDescent="0.25">
      <c r="AZ259" t="s">
        <v>473</v>
      </c>
    </row>
    <row r="260" spans="52:52" x14ac:dyDescent="0.25">
      <c r="AZ260" t="s">
        <v>474</v>
      </c>
    </row>
    <row r="261" spans="52:52" x14ac:dyDescent="0.25">
      <c r="AZ261" t="s">
        <v>475</v>
      </c>
    </row>
    <row r="262" spans="52:52" x14ac:dyDescent="0.25">
      <c r="AZ262" t="s">
        <v>476</v>
      </c>
    </row>
    <row r="263" spans="52:52" x14ac:dyDescent="0.25">
      <c r="AZ263" t="s">
        <v>477</v>
      </c>
    </row>
    <row r="264" spans="52:52" x14ac:dyDescent="0.25">
      <c r="AZ264" t="s">
        <v>478</v>
      </c>
    </row>
    <row r="265" spans="52:52" x14ac:dyDescent="0.25">
      <c r="AZ265" t="s">
        <v>479</v>
      </c>
    </row>
    <row r="266" spans="52:52" x14ac:dyDescent="0.25">
      <c r="AZ266" t="s">
        <v>480</v>
      </c>
    </row>
    <row r="267" spans="52:52" x14ac:dyDescent="0.25">
      <c r="AZ267" t="s">
        <v>481</v>
      </c>
    </row>
    <row r="268" spans="52:52" x14ac:dyDescent="0.25">
      <c r="AZ268" t="s">
        <v>482</v>
      </c>
    </row>
    <row r="269" spans="52:52" x14ac:dyDescent="0.25">
      <c r="AZ269" t="s">
        <v>483</v>
      </c>
    </row>
    <row r="270" spans="52:52" x14ac:dyDescent="0.25">
      <c r="AZ270" t="s">
        <v>484</v>
      </c>
    </row>
    <row r="271" spans="52:52" x14ac:dyDescent="0.25">
      <c r="AZ271" t="s">
        <v>485</v>
      </c>
    </row>
    <row r="272" spans="52:52" x14ac:dyDescent="0.25">
      <c r="AZ272" t="s">
        <v>486</v>
      </c>
    </row>
    <row r="273" spans="52:52" x14ac:dyDescent="0.25">
      <c r="AZ273" t="s">
        <v>487</v>
      </c>
    </row>
    <row r="274" spans="52:52" x14ac:dyDescent="0.25">
      <c r="AZ274" t="s">
        <v>488</v>
      </c>
    </row>
    <row r="275" spans="52:52" x14ac:dyDescent="0.25">
      <c r="AZ275" t="s">
        <v>489</v>
      </c>
    </row>
    <row r="276" spans="52:52" x14ac:dyDescent="0.25">
      <c r="AZ276" t="s">
        <v>490</v>
      </c>
    </row>
    <row r="277" spans="52:52" x14ac:dyDescent="0.25">
      <c r="AZ277" t="s">
        <v>491</v>
      </c>
    </row>
    <row r="278" spans="52:52" x14ac:dyDescent="0.25">
      <c r="AZ278" t="s">
        <v>492</v>
      </c>
    </row>
    <row r="279" spans="52:52" x14ac:dyDescent="0.25">
      <c r="AZ279" t="s">
        <v>493</v>
      </c>
    </row>
    <row r="280" spans="52:52" x14ac:dyDescent="0.25">
      <c r="AZ280" t="s">
        <v>494</v>
      </c>
    </row>
    <row r="281" spans="52:52" x14ac:dyDescent="0.25">
      <c r="AZ281" t="s">
        <v>495</v>
      </c>
    </row>
    <row r="282" spans="52:52" x14ac:dyDescent="0.25">
      <c r="AZ282" t="s">
        <v>496</v>
      </c>
    </row>
    <row r="283" spans="52:52" x14ac:dyDescent="0.25">
      <c r="AZ283" t="s">
        <v>497</v>
      </c>
    </row>
    <row r="284" spans="52:52" x14ac:dyDescent="0.25">
      <c r="AZ284" t="s">
        <v>498</v>
      </c>
    </row>
    <row r="285" spans="52:52" x14ac:dyDescent="0.25">
      <c r="AZ285" t="s">
        <v>499</v>
      </c>
    </row>
    <row r="286" spans="52:52" x14ac:dyDescent="0.25">
      <c r="AZ286" t="s">
        <v>500</v>
      </c>
    </row>
    <row r="287" spans="52:52" x14ac:dyDescent="0.25">
      <c r="AZ287" t="s">
        <v>501</v>
      </c>
    </row>
    <row r="288" spans="52:52" x14ac:dyDescent="0.25">
      <c r="AZ288" t="s">
        <v>502</v>
      </c>
    </row>
    <row r="289" spans="52:52" x14ac:dyDescent="0.25">
      <c r="AZ289" t="s">
        <v>503</v>
      </c>
    </row>
    <row r="290" spans="52:52" x14ac:dyDescent="0.25">
      <c r="AZ290" t="s">
        <v>504</v>
      </c>
    </row>
    <row r="291" spans="52:52" x14ac:dyDescent="0.25">
      <c r="AZ291" t="s">
        <v>505</v>
      </c>
    </row>
    <row r="292" spans="52:52" x14ac:dyDescent="0.25">
      <c r="AZ292" t="s">
        <v>506</v>
      </c>
    </row>
    <row r="293" spans="52:52" x14ac:dyDescent="0.25">
      <c r="AZ293" t="s">
        <v>507</v>
      </c>
    </row>
    <row r="294" spans="52:52" x14ac:dyDescent="0.25">
      <c r="AZ294" t="s">
        <v>508</v>
      </c>
    </row>
    <row r="295" spans="52:52" x14ac:dyDescent="0.25">
      <c r="AZ295" t="s">
        <v>509</v>
      </c>
    </row>
    <row r="296" spans="52:52" x14ac:dyDescent="0.25">
      <c r="AZ296" t="s">
        <v>510</v>
      </c>
    </row>
    <row r="297" spans="52:52" x14ac:dyDescent="0.25">
      <c r="AZ297" t="s">
        <v>511</v>
      </c>
    </row>
    <row r="298" spans="52:52" x14ac:dyDescent="0.25">
      <c r="AZ298" t="s">
        <v>512</v>
      </c>
    </row>
    <row r="299" spans="52:52" x14ac:dyDescent="0.25">
      <c r="AZ299" t="s">
        <v>513</v>
      </c>
    </row>
    <row r="300" spans="52:52" x14ac:dyDescent="0.25">
      <c r="AZ300" t="s">
        <v>514</v>
      </c>
    </row>
    <row r="301" spans="52:52" x14ac:dyDescent="0.25">
      <c r="AZ301" t="s">
        <v>515</v>
      </c>
    </row>
    <row r="302" spans="52:52" x14ac:dyDescent="0.25">
      <c r="AZ302" t="s">
        <v>516</v>
      </c>
    </row>
    <row r="303" spans="52:52" x14ac:dyDescent="0.25">
      <c r="AZ303" t="s">
        <v>517</v>
      </c>
    </row>
    <row r="304" spans="52:52" x14ac:dyDescent="0.25">
      <c r="AZ304" t="s">
        <v>518</v>
      </c>
    </row>
    <row r="305" spans="52:52" x14ac:dyDescent="0.25">
      <c r="AZ305" t="s">
        <v>519</v>
      </c>
    </row>
    <row r="306" spans="52:52" x14ac:dyDescent="0.25">
      <c r="AZ306" t="s">
        <v>520</v>
      </c>
    </row>
    <row r="307" spans="52:52" x14ac:dyDescent="0.25">
      <c r="AZ307" t="s">
        <v>521</v>
      </c>
    </row>
    <row r="308" spans="52:52" x14ac:dyDescent="0.25">
      <c r="AZ308" t="s">
        <v>522</v>
      </c>
    </row>
    <row r="309" spans="52:52" x14ac:dyDescent="0.25">
      <c r="AZ309" t="s">
        <v>523</v>
      </c>
    </row>
    <row r="310" spans="52:52" x14ac:dyDescent="0.25">
      <c r="AZ310" t="s">
        <v>524</v>
      </c>
    </row>
    <row r="311" spans="52:52" x14ac:dyDescent="0.25">
      <c r="AZ311" t="s">
        <v>525</v>
      </c>
    </row>
    <row r="312" spans="52:52" x14ac:dyDescent="0.25">
      <c r="AZ312" t="s">
        <v>526</v>
      </c>
    </row>
    <row r="313" spans="52:52" x14ac:dyDescent="0.25">
      <c r="AZ313" t="s">
        <v>527</v>
      </c>
    </row>
    <row r="314" spans="52:52" x14ac:dyDescent="0.25">
      <c r="AZ314" t="s">
        <v>528</v>
      </c>
    </row>
    <row r="315" spans="52:52" x14ac:dyDescent="0.25">
      <c r="AZ315" t="s">
        <v>529</v>
      </c>
    </row>
    <row r="316" spans="52:52" x14ac:dyDescent="0.25">
      <c r="AZ316" t="s">
        <v>530</v>
      </c>
    </row>
    <row r="317" spans="52:52" x14ac:dyDescent="0.25">
      <c r="AZ317" t="s">
        <v>531</v>
      </c>
    </row>
    <row r="318" spans="52:52" x14ac:dyDescent="0.25">
      <c r="AZ318" t="s">
        <v>532</v>
      </c>
    </row>
    <row r="319" spans="52:52" x14ac:dyDescent="0.25">
      <c r="AZ319" t="s">
        <v>533</v>
      </c>
    </row>
    <row r="320" spans="52:52" x14ac:dyDescent="0.25">
      <c r="AZ320" t="s">
        <v>534</v>
      </c>
    </row>
    <row r="321" spans="52:52" x14ac:dyDescent="0.25">
      <c r="AZ321" t="s">
        <v>535</v>
      </c>
    </row>
    <row r="322" spans="52:52" x14ac:dyDescent="0.25">
      <c r="AZ322" t="s">
        <v>536</v>
      </c>
    </row>
    <row r="323" spans="52:52" x14ac:dyDescent="0.25">
      <c r="AZ323" t="s">
        <v>537</v>
      </c>
    </row>
    <row r="324" spans="52:52" x14ac:dyDescent="0.25">
      <c r="AZ324" t="s">
        <v>538</v>
      </c>
    </row>
    <row r="325" spans="52:52" x14ac:dyDescent="0.25">
      <c r="AZ325" t="s">
        <v>539</v>
      </c>
    </row>
    <row r="326" spans="52:52" x14ac:dyDescent="0.25">
      <c r="AZ326" t="s">
        <v>540</v>
      </c>
    </row>
    <row r="327" spans="52:52" x14ac:dyDescent="0.25">
      <c r="AZ327" t="s">
        <v>541</v>
      </c>
    </row>
    <row r="328" spans="52:52" x14ac:dyDescent="0.25">
      <c r="AZ328" t="s">
        <v>542</v>
      </c>
    </row>
    <row r="329" spans="52:52" x14ac:dyDescent="0.25">
      <c r="AZ329" t="s">
        <v>543</v>
      </c>
    </row>
    <row r="330" spans="52:52" x14ac:dyDescent="0.25">
      <c r="AZ330" t="s">
        <v>544</v>
      </c>
    </row>
    <row r="331" spans="52:52" x14ac:dyDescent="0.25">
      <c r="AZ331" t="s">
        <v>545</v>
      </c>
    </row>
    <row r="332" spans="52:52" x14ac:dyDescent="0.25">
      <c r="AZ332" t="s">
        <v>546</v>
      </c>
    </row>
    <row r="333" spans="52:52" x14ac:dyDescent="0.25">
      <c r="AZ333" t="s">
        <v>547</v>
      </c>
    </row>
    <row r="334" spans="52:52" x14ac:dyDescent="0.25">
      <c r="AZ334" t="s">
        <v>548</v>
      </c>
    </row>
    <row r="335" spans="52:52" x14ac:dyDescent="0.25">
      <c r="AZ335" t="s">
        <v>549</v>
      </c>
    </row>
    <row r="336" spans="52:52" x14ac:dyDescent="0.25">
      <c r="AZ336" t="s">
        <v>550</v>
      </c>
    </row>
    <row r="337" spans="52:52" x14ac:dyDescent="0.25">
      <c r="AZ337" t="s">
        <v>551</v>
      </c>
    </row>
    <row r="338" spans="52:52" x14ac:dyDescent="0.25">
      <c r="AZ338" t="s">
        <v>552</v>
      </c>
    </row>
    <row r="339" spans="52:52" x14ac:dyDescent="0.25">
      <c r="AZ339" t="s">
        <v>553</v>
      </c>
    </row>
    <row r="340" spans="52:52" x14ac:dyDescent="0.25">
      <c r="AZ340" t="s">
        <v>554</v>
      </c>
    </row>
    <row r="341" spans="52:52" x14ac:dyDescent="0.25">
      <c r="AZ341" t="s">
        <v>555</v>
      </c>
    </row>
    <row r="342" spans="52:52" x14ac:dyDescent="0.25">
      <c r="AZ342" t="s">
        <v>556</v>
      </c>
    </row>
    <row r="343" spans="52:52" x14ac:dyDescent="0.25">
      <c r="AZ343" t="s">
        <v>557</v>
      </c>
    </row>
    <row r="344" spans="52:52" x14ac:dyDescent="0.25">
      <c r="AZ344" t="s">
        <v>558</v>
      </c>
    </row>
    <row r="345" spans="52:52" x14ac:dyDescent="0.25">
      <c r="AZ345" t="s">
        <v>559</v>
      </c>
    </row>
    <row r="346" spans="52:52" x14ac:dyDescent="0.25">
      <c r="AZ346" t="s">
        <v>560</v>
      </c>
    </row>
    <row r="347" spans="52:52" x14ac:dyDescent="0.25">
      <c r="AZ347" t="s">
        <v>561</v>
      </c>
    </row>
    <row r="348" spans="52:52" x14ac:dyDescent="0.25">
      <c r="AZ348" t="s">
        <v>562</v>
      </c>
    </row>
    <row r="349" spans="52:52" x14ac:dyDescent="0.25">
      <c r="AZ349" t="s">
        <v>563</v>
      </c>
    </row>
    <row r="350" spans="52:52" x14ac:dyDescent="0.25">
      <c r="AZ350" t="s">
        <v>564</v>
      </c>
    </row>
    <row r="351" spans="52:52" x14ac:dyDescent="0.25">
      <c r="AZ351" t="s">
        <v>565</v>
      </c>
    </row>
    <row r="352" spans="52:52" x14ac:dyDescent="0.25">
      <c r="AZ352" t="s">
        <v>566</v>
      </c>
    </row>
    <row r="353" spans="52:52" x14ac:dyDescent="0.25">
      <c r="AZ353" t="s">
        <v>567</v>
      </c>
    </row>
    <row r="354" spans="52:52" x14ac:dyDescent="0.25">
      <c r="AZ354" t="s">
        <v>568</v>
      </c>
    </row>
    <row r="355" spans="52:52" x14ac:dyDescent="0.25">
      <c r="AZ355" t="s">
        <v>569</v>
      </c>
    </row>
    <row r="356" spans="52:52" x14ac:dyDescent="0.25">
      <c r="AZ356" t="s">
        <v>570</v>
      </c>
    </row>
    <row r="357" spans="52:52" x14ac:dyDescent="0.25">
      <c r="AZ357" t="s">
        <v>571</v>
      </c>
    </row>
    <row r="358" spans="52:52" x14ac:dyDescent="0.25">
      <c r="AZ358" t="s">
        <v>572</v>
      </c>
    </row>
    <row r="359" spans="52:52" x14ac:dyDescent="0.25">
      <c r="AZ359" t="s">
        <v>573</v>
      </c>
    </row>
    <row r="360" spans="52:52" x14ac:dyDescent="0.25">
      <c r="AZ360" t="s">
        <v>574</v>
      </c>
    </row>
    <row r="361" spans="52:52" x14ac:dyDescent="0.25">
      <c r="AZ361" t="s">
        <v>575</v>
      </c>
    </row>
    <row r="362" spans="52:52" x14ac:dyDescent="0.25">
      <c r="AZ362" t="s">
        <v>576</v>
      </c>
    </row>
    <row r="363" spans="52:52" x14ac:dyDescent="0.25">
      <c r="AZ363" t="s">
        <v>577</v>
      </c>
    </row>
    <row r="364" spans="52:52" x14ac:dyDescent="0.25">
      <c r="AZ364" t="s">
        <v>578</v>
      </c>
    </row>
    <row r="365" spans="52:52" x14ac:dyDescent="0.25">
      <c r="AZ365" t="s">
        <v>579</v>
      </c>
    </row>
    <row r="366" spans="52:52" x14ac:dyDescent="0.25">
      <c r="AZ366" t="s">
        <v>580</v>
      </c>
    </row>
    <row r="367" spans="52:52" x14ac:dyDescent="0.25">
      <c r="AZ367" t="s">
        <v>581</v>
      </c>
    </row>
    <row r="368" spans="52:52" x14ac:dyDescent="0.25">
      <c r="AZ368" t="s">
        <v>582</v>
      </c>
    </row>
    <row r="369" spans="52:52" x14ac:dyDescent="0.25">
      <c r="AZ369" t="s">
        <v>583</v>
      </c>
    </row>
    <row r="370" spans="52:52" x14ac:dyDescent="0.25">
      <c r="AZ370" t="s">
        <v>584</v>
      </c>
    </row>
    <row r="371" spans="52:52" x14ac:dyDescent="0.25">
      <c r="AZ371" t="s">
        <v>585</v>
      </c>
    </row>
    <row r="372" spans="52:52" x14ac:dyDescent="0.25">
      <c r="AZ372" t="s">
        <v>586</v>
      </c>
    </row>
    <row r="373" spans="52:52" x14ac:dyDescent="0.25">
      <c r="AZ373" t="s">
        <v>587</v>
      </c>
    </row>
    <row r="374" spans="52:52" x14ac:dyDescent="0.25">
      <c r="AZ374" t="s">
        <v>588</v>
      </c>
    </row>
    <row r="375" spans="52:52" x14ac:dyDescent="0.25">
      <c r="AZ375" t="s">
        <v>589</v>
      </c>
    </row>
    <row r="376" spans="52:52" x14ac:dyDescent="0.25">
      <c r="AZ376" t="s">
        <v>590</v>
      </c>
    </row>
    <row r="377" spans="52:52" x14ac:dyDescent="0.25">
      <c r="AZ377" t="s">
        <v>591</v>
      </c>
    </row>
    <row r="378" spans="52:52" x14ac:dyDescent="0.25">
      <c r="AZ378" t="s">
        <v>592</v>
      </c>
    </row>
    <row r="379" spans="52:52" x14ac:dyDescent="0.25">
      <c r="AZ379" t="s">
        <v>593</v>
      </c>
    </row>
    <row r="380" spans="52:52" x14ac:dyDescent="0.25">
      <c r="AZ380" t="s">
        <v>594</v>
      </c>
    </row>
    <row r="381" spans="52:52" x14ac:dyDescent="0.25">
      <c r="AZ381" t="s">
        <v>595</v>
      </c>
    </row>
    <row r="382" spans="52:52" x14ac:dyDescent="0.25">
      <c r="AZ382" t="s">
        <v>596</v>
      </c>
    </row>
    <row r="383" spans="52:52" x14ac:dyDescent="0.25">
      <c r="AZ383" t="s">
        <v>597</v>
      </c>
    </row>
    <row r="384" spans="52:52" x14ac:dyDescent="0.25">
      <c r="AZ384" t="s">
        <v>598</v>
      </c>
    </row>
    <row r="385" spans="52:52" x14ac:dyDescent="0.25">
      <c r="AZ385" t="s">
        <v>599</v>
      </c>
    </row>
    <row r="386" spans="52:52" x14ac:dyDescent="0.25">
      <c r="AZ386" t="s">
        <v>600</v>
      </c>
    </row>
    <row r="387" spans="52:52" x14ac:dyDescent="0.25">
      <c r="AZ387" t="s">
        <v>601</v>
      </c>
    </row>
    <row r="388" spans="52:52" x14ac:dyDescent="0.25">
      <c r="AZ388" t="s">
        <v>602</v>
      </c>
    </row>
    <row r="389" spans="52:52" x14ac:dyDescent="0.25">
      <c r="AZ389" t="s">
        <v>603</v>
      </c>
    </row>
    <row r="390" spans="52:52" x14ac:dyDescent="0.25">
      <c r="AZ390" t="s">
        <v>604</v>
      </c>
    </row>
    <row r="391" spans="52:52" x14ac:dyDescent="0.25">
      <c r="AZ391" t="s">
        <v>605</v>
      </c>
    </row>
    <row r="392" spans="52:52" x14ac:dyDescent="0.25">
      <c r="AZ392" t="s">
        <v>606</v>
      </c>
    </row>
    <row r="393" spans="52:52" x14ac:dyDescent="0.25">
      <c r="AZ393" t="s">
        <v>607</v>
      </c>
    </row>
    <row r="394" spans="52:52" x14ac:dyDescent="0.25">
      <c r="AZ394" t="s">
        <v>608</v>
      </c>
    </row>
    <row r="395" spans="52:52" x14ac:dyDescent="0.25">
      <c r="AZ395" t="s">
        <v>609</v>
      </c>
    </row>
    <row r="396" spans="52:52" x14ac:dyDescent="0.25">
      <c r="AZ396" t="s">
        <v>610</v>
      </c>
    </row>
    <row r="397" spans="52:52" x14ac:dyDescent="0.25">
      <c r="AZ397" t="s">
        <v>611</v>
      </c>
    </row>
    <row r="398" spans="52:52" x14ac:dyDescent="0.25">
      <c r="AZ398" t="s">
        <v>612</v>
      </c>
    </row>
    <row r="399" spans="52:52" x14ac:dyDescent="0.25">
      <c r="AZ399" t="s">
        <v>613</v>
      </c>
    </row>
    <row r="400" spans="52:52" x14ac:dyDescent="0.25">
      <c r="AZ400" t="s">
        <v>614</v>
      </c>
    </row>
    <row r="401" spans="52:52" x14ac:dyDescent="0.25">
      <c r="AZ401" t="s">
        <v>615</v>
      </c>
    </row>
    <row r="402" spans="52:52" x14ac:dyDescent="0.25">
      <c r="AZ402" t="s">
        <v>616</v>
      </c>
    </row>
    <row r="403" spans="52:52" x14ac:dyDescent="0.25">
      <c r="AZ403" t="s">
        <v>617</v>
      </c>
    </row>
    <row r="404" spans="52:52" x14ac:dyDescent="0.25">
      <c r="AZ404" t="s">
        <v>618</v>
      </c>
    </row>
    <row r="405" spans="52:52" x14ac:dyDescent="0.25">
      <c r="AZ405" t="s">
        <v>619</v>
      </c>
    </row>
    <row r="406" spans="52:52" x14ac:dyDescent="0.25">
      <c r="AZ406" t="s">
        <v>620</v>
      </c>
    </row>
    <row r="407" spans="52:52" x14ac:dyDescent="0.25">
      <c r="AZ407" t="s">
        <v>621</v>
      </c>
    </row>
    <row r="408" spans="52:52" x14ac:dyDescent="0.25">
      <c r="AZ408" t="s">
        <v>622</v>
      </c>
    </row>
    <row r="409" spans="52:52" x14ac:dyDescent="0.25">
      <c r="AZ409" t="s">
        <v>623</v>
      </c>
    </row>
    <row r="410" spans="52:52" x14ac:dyDescent="0.25">
      <c r="AZ410" t="s">
        <v>624</v>
      </c>
    </row>
    <row r="411" spans="52:52" x14ac:dyDescent="0.25">
      <c r="AZ411" t="s">
        <v>625</v>
      </c>
    </row>
    <row r="412" spans="52:52" x14ac:dyDescent="0.25">
      <c r="AZ412" t="s">
        <v>626</v>
      </c>
    </row>
    <row r="413" spans="52:52" x14ac:dyDescent="0.25">
      <c r="AZ413" t="s">
        <v>627</v>
      </c>
    </row>
    <row r="414" spans="52:52" x14ac:dyDescent="0.25">
      <c r="AZ414" t="s">
        <v>628</v>
      </c>
    </row>
    <row r="415" spans="52:52" x14ac:dyDescent="0.25">
      <c r="AZ415" t="s">
        <v>629</v>
      </c>
    </row>
    <row r="416" spans="52:52" x14ac:dyDescent="0.25">
      <c r="AZ416" t="s">
        <v>630</v>
      </c>
    </row>
    <row r="417" spans="52:52" x14ac:dyDescent="0.25">
      <c r="AZ417" t="s">
        <v>631</v>
      </c>
    </row>
    <row r="418" spans="52:52" x14ac:dyDescent="0.25">
      <c r="AZ418" t="s">
        <v>632</v>
      </c>
    </row>
    <row r="419" spans="52:52" x14ac:dyDescent="0.25">
      <c r="AZ419" t="s">
        <v>633</v>
      </c>
    </row>
    <row r="420" spans="52:52" x14ac:dyDescent="0.25">
      <c r="AZ420" t="s">
        <v>634</v>
      </c>
    </row>
    <row r="421" spans="52:52" x14ac:dyDescent="0.25">
      <c r="AZ421" t="s">
        <v>635</v>
      </c>
    </row>
    <row r="422" spans="52:52" x14ac:dyDescent="0.25">
      <c r="AZ422" t="s">
        <v>636</v>
      </c>
    </row>
    <row r="423" spans="52:52" x14ac:dyDescent="0.25">
      <c r="AZ423" t="s">
        <v>637</v>
      </c>
    </row>
    <row r="424" spans="52:52" x14ac:dyDescent="0.25">
      <c r="AZ424" t="s">
        <v>638</v>
      </c>
    </row>
    <row r="425" spans="52:52" x14ac:dyDescent="0.25">
      <c r="AZ425" t="s">
        <v>639</v>
      </c>
    </row>
    <row r="426" spans="52:52" x14ac:dyDescent="0.25">
      <c r="AZ426" t="s">
        <v>640</v>
      </c>
    </row>
    <row r="427" spans="52:52" x14ac:dyDescent="0.25">
      <c r="AZ427" t="s">
        <v>641</v>
      </c>
    </row>
    <row r="428" spans="52:52" x14ac:dyDescent="0.25">
      <c r="AZ428" t="s">
        <v>642</v>
      </c>
    </row>
    <row r="429" spans="52:52" x14ac:dyDescent="0.25">
      <c r="AZ429" t="s">
        <v>643</v>
      </c>
    </row>
    <row r="430" spans="52:52" x14ac:dyDescent="0.25">
      <c r="AZ430" t="s">
        <v>644</v>
      </c>
    </row>
    <row r="431" spans="52:52" x14ac:dyDescent="0.25">
      <c r="AZ431" t="s">
        <v>645</v>
      </c>
    </row>
    <row r="432" spans="52:52" x14ac:dyDescent="0.25">
      <c r="AZ432" t="s">
        <v>646</v>
      </c>
    </row>
    <row r="433" spans="52:52" x14ac:dyDescent="0.25">
      <c r="AZ433" t="s">
        <v>647</v>
      </c>
    </row>
    <row r="434" spans="52:52" x14ac:dyDescent="0.25">
      <c r="AZ434" t="s">
        <v>648</v>
      </c>
    </row>
    <row r="435" spans="52:52" x14ac:dyDescent="0.25">
      <c r="AZ435" t="s">
        <v>649</v>
      </c>
    </row>
    <row r="436" spans="52:52" x14ac:dyDescent="0.25">
      <c r="AZ436" t="s">
        <v>650</v>
      </c>
    </row>
    <row r="437" spans="52:52" x14ac:dyDescent="0.25">
      <c r="AZ437" t="s">
        <v>651</v>
      </c>
    </row>
    <row r="438" spans="52:52" x14ac:dyDescent="0.25">
      <c r="AZ438" t="s">
        <v>652</v>
      </c>
    </row>
    <row r="439" spans="52:52" x14ac:dyDescent="0.25">
      <c r="AZ439" t="s">
        <v>653</v>
      </c>
    </row>
    <row r="440" spans="52:52" x14ac:dyDescent="0.25">
      <c r="AZ440" t="s">
        <v>654</v>
      </c>
    </row>
    <row r="441" spans="52:52" x14ac:dyDescent="0.25">
      <c r="AZ441" t="s">
        <v>655</v>
      </c>
    </row>
    <row r="442" spans="52:52" x14ac:dyDescent="0.25">
      <c r="AZ442" t="s">
        <v>656</v>
      </c>
    </row>
    <row r="443" spans="52:52" x14ac:dyDescent="0.25">
      <c r="AZ443" t="s">
        <v>657</v>
      </c>
    </row>
    <row r="444" spans="52:52" x14ac:dyDescent="0.25">
      <c r="AZ444" t="s">
        <v>658</v>
      </c>
    </row>
    <row r="445" spans="52:52" x14ac:dyDescent="0.25">
      <c r="AZ445" t="s">
        <v>659</v>
      </c>
    </row>
    <row r="446" spans="52:52" x14ac:dyDescent="0.25">
      <c r="AZ446" t="s">
        <v>660</v>
      </c>
    </row>
    <row r="447" spans="52:52" x14ac:dyDescent="0.25">
      <c r="AZ447" t="s">
        <v>661</v>
      </c>
    </row>
    <row r="448" spans="52:52" x14ac:dyDescent="0.25">
      <c r="AZ448" t="s">
        <v>662</v>
      </c>
    </row>
    <row r="449" spans="52:52" x14ac:dyDescent="0.25">
      <c r="AZ449" t="s">
        <v>663</v>
      </c>
    </row>
    <row r="450" spans="52:52" x14ac:dyDescent="0.25">
      <c r="AZ450" t="s">
        <v>664</v>
      </c>
    </row>
    <row r="451" spans="52:52" x14ac:dyDescent="0.25">
      <c r="AZ451" t="s">
        <v>665</v>
      </c>
    </row>
    <row r="452" spans="52:52" x14ac:dyDescent="0.25">
      <c r="AZ452" t="s">
        <v>666</v>
      </c>
    </row>
    <row r="453" spans="52:52" x14ac:dyDescent="0.25">
      <c r="AZ453" t="s">
        <v>667</v>
      </c>
    </row>
    <row r="454" spans="52:52" x14ac:dyDescent="0.25">
      <c r="AZ454" t="s">
        <v>668</v>
      </c>
    </row>
    <row r="455" spans="52:52" x14ac:dyDescent="0.25">
      <c r="AZ455" t="s">
        <v>669</v>
      </c>
    </row>
    <row r="456" spans="52:52" x14ac:dyDescent="0.25">
      <c r="AZ456" t="s">
        <v>670</v>
      </c>
    </row>
    <row r="457" spans="52:52" x14ac:dyDescent="0.25">
      <c r="AZ457" t="s">
        <v>671</v>
      </c>
    </row>
    <row r="458" spans="52:52" x14ac:dyDescent="0.25">
      <c r="AZ458" t="s">
        <v>672</v>
      </c>
    </row>
    <row r="459" spans="52:52" x14ac:dyDescent="0.25">
      <c r="AZ459" t="s">
        <v>673</v>
      </c>
    </row>
    <row r="460" spans="52:52" x14ac:dyDescent="0.25">
      <c r="AZ460" t="s">
        <v>674</v>
      </c>
    </row>
    <row r="461" spans="52:52" x14ac:dyDescent="0.25">
      <c r="AZ461" t="s">
        <v>675</v>
      </c>
    </row>
    <row r="462" spans="52:52" x14ac:dyDescent="0.25">
      <c r="AZ462" t="s">
        <v>676</v>
      </c>
    </row>
    <row r="463" spans="52:52" x14ac:dyDescent="0.25">
      <c r="AZ463" t="s">
        <v>677</v>
      </c>
    </row>
    <row r="464" spans="52:52" x14ac:dyDescent="0.25">
      <c r="AZ464" t="s">
        <v>678</v>
      </c>
    </row>
    <row r="465" spans="52:52" x14ac:dyDescent="0.25">
      <c r="AZ465" t="s">
        <v>679</v>
      </c>
    </row>
    <row r="466" spans="52:52" x14ac:dyDescent="0.25">
      <c r="AZ466" t="s">
        <v>680</v>
      </c>
    </row>
    <row r="467" spans="52:52" x14ac:dyDescent="0.25">
      <c r="AZ467" t="s">
        <v>681</v>
      </c>
    </row>
    <row r="468" spans="52:52" x14ac:dyDescent="0.25">
      <c r="AZ468" t="s">
        <v>682</v>
      </c>
    </row>
    <row r="469" spans="52:52" x14ac:dyDescent="0.25">
      <c r="AZ469" t="s">
        <v>683</v>
      </c>
    </row>
    <row r="470" spans="52:52" x14ac:dyDescent="0.25">
      <c r="AZ470" t="s">
        <v>684</v>
      </c>
    </row>
    <row r="471" spans="52:52" x14ac:dyDescent="0.25">
      <c r="AZ471" t="s">
        <v>685</v>
      </c>
    </row>
    <row r="472" spans="52:52" x14ac:dyDescent="0.25">
      <c r="AZ472" t="s">
        <v>686</v>
      </c>
    </row>
    <row r="473" spans="52:52" x14ac:dyDescent="0.25">
      <c r="AZ473" t="s">
        <v>687</v>
      </c>
    </row>
    <row r="474" spans="52:52" x14ac:dyDescent="0.25">
      <c r="AZ474" t="s">
        <v>688</v>
      </c>
    </row>
    <row r="475" spans="52:52" x14ac:dyDescent="0.25">
      <c r="AZ475" t="s">
        <v>689</v>
      </c>
    </row>
    <row r="476" spans="52:52" x14ac:dyDescent="0.25">
      <c r="AZ476" t="s">
        <v>690</v>
      </c>
    </row>
    <row r="477" spans="52:52" x14ac:dyDescent="0.25">
      <c r="AZ477" t="s">
        <v>691</v>
      </c>
    </row>
    <row r="478" spans="52:52" x14ac:dyDescent="0.25">
      <c r="AZ478" t="s">
        <v>692</v>
      </c>
    </row>
    <row r="479" spans="52:52" x14ac:dyDescent="0.25">
      <c r="AZ479" t="s">
        <v>693</v>
      </c>
    </row>
    <row r="480" spans="52:52" x14ac:dyDescent="0.25">
      <c r="AZ480" t="s">
        <v>694</v>
      </c>
    </row>
    <row r="481" spans="52:52" x14ac:dyDescent="0.25">
      <c r="AZ481" t="s">
        <v>695</v>
      </c>
    </row>
    <row r="482" spans="52:52" x14ac:dyDescent="0.25">
      <c r="AZ482" t="s">
        <v>696</v>
      </c>
    </row>
    <row r="483" spans="52:52" x14ac:dyDescent="0.25">
      <c r="AZ483" t="s">
        <v>697</v>
      </c>
    </row>
    <row r="484" spans="52:52" x14ac:dyDescent="0.25">
      <c r="AZ484" t="s">
        <v>698</v>
      </c>
    </row>
    <row r="485" spans="52:52" x14ac:dyDescent="0.25">
      <c r="AZ485" t="s">
        <v>699</v>
      </c>
    </row>
    <row r="486" spans="52:52" x14ac:dyDescent="0.25">
      <c r="AZ486" t="s">
        <v>700</v>
      </c>
    </row>
    <row r="487" spans="52:52" x14ac:dyDescent="0.25">
      <c r="AZ487" t="s">
        <v>701</v>
      </c>
    </row>
    <row r="488" spans="52:52" x14ac:dyDescent="0.25">
      <c r="AZ488" t="s">
        <v>702</v>
      </c>
    </row>
    <row r="489" spans="52:52" x14ac:dyDescent="0.25">
      <c r="AZ489" t="s">
        <v>703</v>
      </c>
    </row>
    <row r="490" spans="52:52" x14ac:dyDescent="0.25">
      <c r="AZ490" t="s">
        <v>704</v>
      </c>
    </row>
    <row r="491" spans="52:52" x14ac:dyDescent="0.25">
      <c r="AZ491" t="s">
        <v>705</v>
      </c>
    </row>
    <row r="492" spans="52:52" x14ac:dyDescent="0.25">
      <c r="AZ492" t="s">
        <v>706</v>
      </c>
    </row>
    <row r="493" spans="52:52" x14ac:dyDescent="0.25">
      <c r="AZ493" t="s">
        <v>707</v>
      </c>
    </row>
    <row r="494" spans="52:52" x14ac:dyDescent="0.25">
      <c r="AZ494" t="s">
        <v>708</v>
      </c>
    </row>
    <row r="495" spans="52:52" x14ac:dyDescent="0.25">
      <c r="AZ495" t="s">
        <v>709</v>
      </c>
    </row>
    <row r="496" spans="52:52" x14ac:dyDescent="0.25">
      <c r="AZ496" t="s">
        <v>710</v>
      </c>
    </row>
    <row r="497" spans="52:52" x14ac:dyDescent="0.25">
      <c r="AZ497" t="s">
        <v>711</v>
      </c>
    </row>
    <row r="498" spans="52:52" x14ac:dyDescent="0.25">
      <c r="AZ498" t="s">
        <v>712</v>
      </c>
    </row>
    <row r="499" spans="52:52" x14ac:dyDescent="0.25">
      <c r="AZ499" t="s">
        <v>713</v>
      </c>
    </row>
    <row r="500" spans="52:52" x14ac:dyDescent="0.25">
      <c r="AZ500" t="s">
        <v>714</v>
      </c>
    </row>
    <row r="501" spans="52:52" x14ac:dyDescent="0.25">
      <c r="AZ501" t="s">
        <v>715</v>
      </c>
    </row>
    <row r="502" spans="52:52" x14ac:dyDescent="0.25">
      <c r="AZ502" t="s">
        <v>716</v>
      </c>
    </row>
    <row r="503" spans="52:52" x14ac:dyDescent="0.25">
      <c r="AZ503" t="s">
        <v>717</v>
      </c>
    </row>
    <row r="504" spans="52:52" x14ac:dyDescent="0.25">
      <c r="AZ504" t="s">
        <v>718</v>
      </c>
    </row>
    <row r="505" spans="52:52" x14ac:dyDescent="0.25">
      <c r="AZ505" t="s">
        <v>719</v>
      </c>
    </row>
    <row r="506" spans="52:52" x14ac:dyDescent="0.25">
      <c r="AZ506" t="s">
        <v>720</v>
      </c>
    </row>
    <row r="507" spans="52:52" x14ac:dyDescent="0.25">
      <c r="AZ507" t="s">
        <v>721</v>
      </c>
    </row>
    <row r="508" spans="52:52" x14ac:dyDescent="0.25">
      <c r="AZ508" t="s">
        <v>722</v>
      </c>
    </row>
    <row r="509" spans="52:52" x14ac:dyDescent="0.25">
      <c r="AZ509" t="s">
        <v>723</v>
      </c>
    </row>
    <row r="510" spans="52:52" x14ac:dyDescent="0.25">
      <c r="AZ510" t="s">
        <v>724</v>
      </c>
    </row>
    <row r="511" spans="52:52" x14ac:dyDescent="0.25">
      <c r="AZ511" t="s">
        <v>725</v>
      </c>
    </row>
    <row r="512" spans="52:52" x14ac:dyDescent="0.25">
      <c r="AZ512" t="s">
        <v>726</v>
      </c>
    </row>
    <row r="513" spans="52:52" x14ac:dyDescent="0.25">
      <c r="AZ513" t="s">
        <v>727</v>
      </c>
    </row>
    <row r="514" spans="52:52" x14ac:dyDescent="0.25">
      <c r="AZ514" t="s">
        <v>728</v>
      </c>
    </row>
    <row r="515" spans="52:52" x14ac:dyDescent="0.25">
      <c r="AZ515" t="s">
        <v>729</v>
      </c>
    </row>
    <row r="516" spans="52:52" x14ac:dyDescent="0.25">
      <c r="AZ516" t="s">
        <v>730</v>
      </c>
    </row>
    <row r="517" spans="52:52" x14ac:dyDescent="0.25">
      <c r="AZ517" t="s">
        <v>731</v>
      </c>
    </row>
    <row r="518" spans="52:52" x14ac:dyDescent="0.25">
      <c r="AZ518" t="s">
        <v>732</v>
      </c>
    </row>
    <row r="519" spans="52:52" x14ac:dyDescent="0.25">
      <c r="AZ519" t="s">
        <v>733</v>
      </c>
    </row>
    <row r="520" spans="52:52" x14ac:dyDescent="0.25">
      <c r="AZ520" t="s">
        <v>734</v>
      </c>
    </row>
    <row r="521" spans="52:52" x14ac:dyDescent="0.25">
      <c r="AZ521" t="s">
        <v>735</v>
      </c>
    </row>
    <row r="522" spans="52:52" x14ac:dyDescent="0.25">
      <c r="AZ522" t="s">
        <v>736</v>
      </c>
    </row>
    <row r="523" spans="52:52" x14ac:dyDescent="0.25">
      <c r="AZ523" t="s">
        <v>737</v>
      </c>
    </row>
    <row r="524" spans="52:52" x14ac:dyDescent="0.25">
      <c r="AZ524" t="s">
        <v>738</v>
      </c>
    </row>
    <row r="525" spans="52:52" x14ac:dyDescent="0.25">
      <c r="AZ525" t="s">
        <v>739</v>
      </c>
    </row>
    <row r="526" spans="52:52" x14ac:dyDescent="0.25">
      <c r="AZ526" t="s">
        <v>740</v>
      </c>
    </row>
    <row r="527" spans="52:52" x14ac:dyDescent="0.25">
      <c r="AZ527" t="s">
        <v>741</v>
      </c>
    </row>
    <row r="528" spans="52:52" x14ac:dyDescent="0.25">
      <c r="AZ528" t="s">
        <v>742</v>
      </c>
    </row>
    <row r="529" spans="52:52" x14ac:dyDescent="0.25">
      <c r="AZ529" t="s">
        <v>743</v>
      </c>
    </row>
    <row r="530" spans="52:52" x14ac:dyDescent="0.25">
      <c r="AZ530" t="s">
        <v>744</v>
      </c>
    </row>
    <row r="531" spans="52:52" x14ac:dyDescent="0.25">
      <c r="AZ531" t="s">
        <v>745</v>
      </c>
    </row>
    <row r="532" spans="52:52" x14ac:dyDescent="0.25">
      <c r="AZ532" t="s">
        <v>746</v>
      </c>
    </row>
    <row r="533" spans="52:52" x14ac:dyDescent="0.25">
      <c r="AZ533" t="s">
        <v>747</v>
      </c>
    </row>
    <row r="534" spans="52:52" x14ac:dyDescent="0.25">
      <c r="AZ534" t="s">
        <v>748</v>
      </c>
    </row>
    <row r="535" spans="52:52" x14ac:dyDescent="0.25">
      <c r="AZ535" t="s">
        <v>749</v>
      </c>
    </row>
    <row r="536" spans="52:52" x14ac:dyDescent="0.25">
      <c r="AZ536" t="s">
        <v>750</v>
      </c>
    </row>
    <row r="537" spans="52:52" x14ac:dyDescent="0.25">
      <c r="AZ537" t="s">
        <v>751</v>
      </c>
    </row>
    <row r="538" spans="52:52" x14ac:dyDescent="0.25">
      <c r="AZ538" t="s">
        <v>752</v>
      </c>
    </row>
    <row r="539" spans="52:52" x14ac:dyDescent="0.25">
      <c r="AZ539" t="s">
        <v>753</v>
      </c>
    </row>
    <row r="540" spans="52:52" x14ac:dyDescent="0.25">
      <c r="AZ540" t="s">
        <v>754</v>
      </c>
    </row>
    <row r="541" spans="52:52" x14ac:dyDescent="0.25">
      <c r="AZ541" t="s">
        <v>755</v>
      </c>
    </row>
    <row r="542" spans="52:52" x14ac:dyDescent="0.25">
      <c r="AZ542" t="s">
        <v>756</v>
      </c>
    </row>
    <row r="543" spans="52:52" x14ac:dyDescent="0.25">
      <c r="AZ543" t="s">
        <v>757</v>
      </c>
    </row>
    <row r="544" spans="52:52" x14ac:dyDescent="0.25">
      <c r="AZ544" t="s">
        <v>758</v>
      </c>
    </row>
    <row r="545" spans="52:52" x14ac:dyDescent="0.25">
      <c r="AZ545" t="s">
        <v>759</v>
      </c>
    </row>
    <row r="546" spans="52:52" x14ac:dyDescent="0.25">
      <c r="AZ546" t="s">
        <v>760</v>
      </c>
    </row>
    <row r="547" spans="52:52" x14ac:dyDescent="0.25">
      <c r="AZ547" t="s">
        <v>761</v>
      </c>
    </row>
    <row r="548" spans="52:52" x14ac:dyDescent="0.25">
      <c r="AZ548" t="s">
        <v>762</v>
      </c>
    </row>
    <row r="549" spans="52:52" x14ac:dyDescent="0.25">
      <c r="AZ549" t="s">
        <v>763</v>
      </c>
    </row>
    <row r="550" spans="52:52" x14ac:dyDescent="0.25">
      <c r="AZ550" t="s">
        <v>764</v>
      </c>
    </row>
    <row r="551" spans="52:52" x14ac:dyDescent="0.25">
      <c r="AZ551" t="s">
        <v>765</v>
      </c>
    </row>
    <row r="552" spans="52:52" x14ac:dyDescent="0.25">
      <c r="AZ552" t="s">
        <v>766</v>
      </c>
    </row>
    <row r="553" spans="52:52" x14ac:dyDescent="0.25">
      <c r="AZ553" t="s">
        <v>767</v>
      </c>
    </row>
    <row r="554" spans="52:52" x14ac:dyDescent="0.25">
      <c r="AZ554" t="s">
        <v>768</v>
      </c>
    </row>
    <row r="555" spans="52:52" x14ac:dyDescent="0.25">
      <c r="AZ555" t="s">
        <v>769</v>
      </c>
    </row>
    <row r="556" spans="52:52" x14ac:dyDescent="0.25">
      <c r="AZ556" t="s">
        <v>770</v>
      </c>
    </row>
    <row r="557" spans="52:52" x14ac:dyDescent="0.25">
      <c r="AZ557" t="s">
        <v>771</v>
      </c>
    </row>
    <row r="558" spans="52:52" x14ac:dyDescent="0.25">
      <c r="AZ558" t="s">
        <v>772</v>
      </c>
    </row>
    <row r="559" spans="52:52" x14ac:dyDescent="0.25">
      <c r="AZ559" t="s">
        <v>773</v>
      </c>
    </row>
    <row r="560" spans="52:52" x14ac:dyDescent="0.25">
      <c r="AZ560" t="s">
        <v>774</v>
      </c>
    </row>
    <row r="561" spans="52:52" x14ac:dyDescent="0.25">
      <c r="AZ561" t="s">
        <v>775</v>
      </c>
    </row>
    <row r="562" spans="52:52" x14ac:dyDescent="0.25">
      <c r="AZ562" t="s">
        <v>776</v>
      </c>
    </row>
    <row r="563" spans="52:52" x14ac:dyDescent="0.25">
      <c r="AZ563" t="s">
        <v>777</v>
      </c>
    </row>
    <row r="564" spans="52:52" x14ac:dyDescent="0.25">
      <c r="AZ564" t="s">
        <v>778</v>
      </c>
    </row>
    <row r="565" spans="52:52" x14ac:dyDescent="0.25">
      <c r="AZ565" t="s">
        <v>779</v>
      </c>
    </row>
    <row r="566" spans="52:52" x14ac:dyDescent="0.25">
      <c r="AZ566" t="s">
        <v>780</v>
      </c>
    </row>
    <row r="567" spans="52:52" x14ac:dyDescent="0.25">
      <c r="AZ567" t="s">
        <v>781</v>
      </c>
    </row>
    <row r="568" spans="52:52" x14ac:dyDescent="0.25">
      <c r="AZ568" t="s">
        <v>782</v>
      </c>
    </row>
    <row r="569" spans="52:52" x14ac:dyDescent="0.25">
      <c r="AZ569" t="s">
        <v>783</v>
      </c>
    </row>
    <row r="570" spans="52:52" x14ac:dyDescent="0.25">
      <c r="AZ570" t="s">
        <v>784</v>
      </c>
    </row>
    <row r="571" spans="52:52" x14ac:dyDescent="0.25">
      <c r="AZ571" t="s">
        <v>785</v>
      </c>
    </row>
    <row r="572" spans="52:52" x14ac:dyDescent="0.25">
      <c r="AZ572" t="s">
        <v>786</v>
      </c>
    </row>
    <row r="573" spans="52:52" x14ac:dyDescent="0.25">
      <c r="AZ573" t="s">
        <v>787</v>
      </c>
    </row>
    <row r="574" spans="52:52" x14ac:dyDescent="0.25">
      <c r="AZ574" t="s">
        <v>788</v>
      </c>
    </row>
    <row r="575" spans="52:52" x14ac:dyDescent="0.25">
      <c r="AZ575" t="s">
        <v>789</v>
      </c>
    </row>
    <row r="576" spans="52:52" x14ac:dyDescent="0.25">
      <c r="AZ576" t="s">
        <v>790</v>
      </c>
    </row>
    <row r="577" spans="52:52" x14ac:dyDescent="0.25">
      <c r="AZ577" t="s">
        <v>791</v>
      </c>
    </row>
    <row r="578" spans="52:52" x14ac:dyDescent="0.25">
      <c r="AZ578" t="s">
        <v>792</v>
      </c>
    </row>
    <row r="579" spans="52:52" x14ac:dyDescent="0.25">
      <c r="AZ579" t="s">
        <v>793</v>
      </c>
    </row>
    <row r="580" spans="52:52" x14ac:dyDescent="0.25">
      <c r="AZ580" t="s">
        <v>794</v>
      </c>
    </row>
    <row r="581" spans="52:52" x14ac:dyDescent="0.25">
      <c r="AZ581" t="s">
        <v>795</v>
      </c>
    </row>
    <row r="582" spans="52:52" x14ac:dyDescent="0.25">
      <c r="AZ582" t="s">
        <v>796</v>
      </c>
    </row>
    <row r="583" spans="52:52" x14ac:dyDescent="0.25">
      <c r="AZ583" t="s">
        <v>797</v>
      </c>
    </row>
    <row r="584" spans="52:52" x14ac:dyDescent="0.25">
      <c r="AZ584" t="s">
        <v>798</v>
      </c>
    </row>
    <row r="585" spans="52:52" x14ac:dyDescent="0.25">
      <c r="AZ585" t="s">
        <v>799</v>
      </c>
    </row>
    <row r="586" spans="52:52" x14ac:dyDescent="0.25">
      <c r="AZ586" t="s">
        <v>800</v>
      </c>
    </row>
    <row r="587" spans="52:52" x14ac:dyDescent="0.25">
      <c r="AZ587" t="s">
        <v>801</v>
      </c>
    </row>
    <row r="588" spans="52:52" x14ac:dyDescent="0.25">
      <c r="AZ588" t="s">
        <v>802</v>
      </c>
    </row>
    <row r="589" spans="52:52" x14ac:dyDescent="0.25">
      <c r="AZ589" t="s">
        <v>803</v>
      </c>
    </row>
    <row r="590" spans="52:52" x14ac:dyDescent="0.25">
      <c r="AZ590" t="s">
        <v>804</v>
      </c>
    </row>
    <row r="591" spans="52:52" x14ac:dyDescent="0.25">
      <c r="AZ591" t="s">
        <v>805</v>
      </c>
    </row>
    <row r="592" spans="52:52" x14ac:dyDescent="0.25">
      <c r="AZ592" t="s">
        <v>806</v>
      </c>
    </row>
    <row r="593" spans="52:52" x14ac:dyDescent="0.25">
      <c r="AZ593" t="s">
        <v>807</v>
      </c>
    </row>
    <row r="594" spans="52:52" x14ac:dyDescent="0.25">
      <c r="AZ594" t="s">
        <v>808</v>
      </c>
    </row>
    <row r="595" spans="52:52" x14ac:dyDescent="0.25">
      <c r="AZ595" t="s">
        <v>809</v>
      </c>
    </row>
    <row r="596" spans="52:52" x14ac:dyDescent="0.25">
      <c r="AZ596" t="s">
        <v>810</v>
      </c>
    </row>
    <row r="597" spans="52:52" x14ac:dyDescent="0.25">
      <c r="AZ597" t="s">
        <v>811</v>
      </c>
    </row>
    <row r="598" spans="52:52" x14ac:dyDescent="0.25">
      <c r="AZ598" t="s">
        <v>812</v>
      </c>
    </row>
    <row r="599" spans="52:52" x14ac:dyDescent="0.25">
      <c r="AZ599" t="s">
        <v>813</v>
      </c>
    </row>
    <row r="600" spans="52:52" x14ac:dyDescent="0.25">
      <c r="AZ600" t="s">
        <v>814</v>
      </c>
    </row>
    <row r="601" spans="52:52" x14ac:dyDescent="0.25">
      <c r="AZ601" t="s">
        <v>815</v>
      </c>
    </row>
    <row r="602" spans="52:52" x14ac:dyDescent="0.25">
      <c r="AZ602" t="s">
        <v>816</v>
      </c>
    </row>
    <row r="603" spans="52:52" x14ac:dyDescent="0.25">
      <c r="AZ603" t="s">
        <v>817</v>
      </c>
    </row>
    <row r="604" spans="52:52" x14ac:dyDescent="0.25">
      <c r="AZ604" t="s">
        <v>818</v>
      </c>
    </row>
    <row r="605" spans="52:52" x14ac:dyDescent="0.25">
      <c r="AZ605" t="s">
        <v>819</v>
      </c>
    </row>
    <row r="606" spans="52:52" x14ac:dyDescent="0.25">
      <c r="AZ606" t="s">
        <v>820</v>
      </c>
    </row>
    <row r="607" spans="52:52" x14ac:dyDescent="0.25">
      <c r="AZ607" t="s">
        <v>821</v>
      </c>
    </row>
    <row r="608" spans="52:52" x14ac:dyDescent="0.25">
      <c r="AZ608" t="s">
        <v>822</v>
      </c>
    </row>
    <row r="609" spans="52:52" x14ac:dyDescent="0.25">
      <c r="AZ609" t="s">
        <v>823</v>
      </c>
    </row>
    <row r="610" spans="52:52" x14ac:dyDescent="0.25">
      <c r="AZ610" t="s">
        <v>824</v>
      </c>
    </row>
    <row r="611" spans="52:52" x14ac:dyDescent="0.25">
      <c r="AZ611" t="s">
        <v>825</v>
      </c>
    </row>
    <row r="612" spans="52:52" x14ac:dyDescent="0.25">
      <c r="AZ612" t="s">
        <v>826</v>
      </c>
    </row>
    <row r="613" spans="52:52" x14ac:dyDescent="0.25">
      <c r="AZ613" t="s">
        <v>827</v>
      </c>
    </row>
    <row r="614" spans="52:52" x14ac:dyDescent="0.25">
      <c r="AZ614" t="s">
        <v>828</v>
      </c>
    </row>
    <row r="615" spans="52:52" x14ac:dyDescent="0.25">
      <c r="AZ615" t="s">
        <v>829</v>
      </c>
    </row>
    <row r="616" spans="52:52" x14ac:dyDescent="0.25">
      <c r="AZ616" t="s">
        <v>830</v>
      </c>
    </row>
    <row r="617" spans="52:52" x14ac:dyDescent="0.25">
      <c r="AZ617" t="s">
        <v>831</v>
      </c>
    </row>
    <row r="618" spans="52:52" x14ac:dyDescent="0.25">
      <c r="AZ618" t="s">
        <v>832</v>
      </c>
    </row>
    <row r="619" spans="52:52" x14ac:dyDescent="0.25">
      <c r="AZ619" t="s">
        <v>833</v>
      </c>
    </row>
    <row r="620" spans="52:52" x14ac:dyDescent="0.25">
      <c r="AZ620" t="s">
        <v>834</v>
      </c>
    </row>
    <row r="621" spans="52:52" x14ac:dyDescent="0.25">
      <c r="AZ621" t="s">
        <v>835</v>
      </c>
    </row>
    <row r="622" spans="52:52" x14ac:dyDescent="0.25">
      <c r="AZ622" t="s">
        <v>836</v>
      </c>
    </row>
    <row r="623" spans="52:52" x14ac:dyDescent="0.25">
      <c r="AZ623" t="s">
        <v>837</v>
      </c>
    </row>
    <row r="624" spans="52:52" x14ac:dyDescent="0.25">
      <c r="AZ624" t="s">
        <v>838</v>
      </c>
    </row>
    <row r="625" spans="52:52" x14ac:dyDescent="0.25">
      <c r="AZ625" t="s">
        <v>839</v>
      </c>
    </row>
    <row r="626" spans="52:52" x14ac:dyDescent="0.25">
      <c r="AZ626" t="s">
        <v>840</v>
      </c>
    </row>
    <row r="627" spans="52:52" x14ac:dyDescent="0.25">
      <c r="AZ627" t="s">
        <v>841</v>
      </c>
    </row>
    <row r="628" spans="52:52" x14ac:dyDescent="0.25">
      <c r="AZ628" t="s">
        <v>842</v>
      </c>
    </row>
    <row r="629" spans="52:52" x14ac:dyDescent="0.25">
      <c r="AZ629" t="s">
        <v>843</v>
      </c>
    </row>
    <row r="630" spans="52:52" x14ac:dyDescent="0.25">
      <c r="AZ630" t="s">
        <v>844</v>
      </c>
    </row>
    <row r="631" spans="52:52" x14ac:dyDescent="0.25">
      <c r="AZ631" t="s">
        <v>845</v>
      </c>
    </row>
    <row r="632" spans="52:52" x14ac:dyDescent="0.25">
      <c r="AZ632" t="s">
        <v>846</v>
      </c>
    </row>
    <row r="633" spans="52:52" x14ac:dyDescent="0.25">
      <c r="AZ633" t="s">
        <v>847</v>
      </c>
    </row>
    <row r="634" spans="52:52" x14ac:dyDescent="0.25">
      <c r="AZ634" t="s">
        <v>848</v>
      </c>
    </row>
    <row r="635" spans="52:52" x14ac:dyDescent="0.25">
      <c r="AZ635" t="s">
        <v>849</v>
      </c>
    </row>
    <row r="636" spans="52:52" x14ac:dyDescent="0.25">
      <c r="AZ636" t="s">
        <v>850</v>
      </c>
    </row>
    <row r="637" spans="52:52" x14ac:dyDescent="0.25">
      <c r="AZ637" t="s">
        <v>851</v>
      </c>
    </row>
    <row r="638" spans="52:52" x14ac:dyDescent="0.25">
      <c r="AZ638" t="s">
        <v>852</v>
      </c>
    </row>
    <row r="639" spans="52:52" x14ac:dyDescent="0.25">
      <c r="AZ639" t="s">
        <v>853</v>
      </c>
    </row>
    <row r="640" spans="52:52" x14ac:dyDescent="0.25">
      <c r="AZ640" t="s">
        <v>854</v>
      </c>
    </row>
    <row r="641" spans="52:52" x14ac:dyDescent="0.25">
      <c r="AZ641" t="s">
        <v>855</v>
      </c>
    </row>
    <row r="642" spans="52:52" x14ac:dyDescent="0.25">
      <c r="AZ642" t="s">
        <v>856</v>
      </c>
    </row>
    <row r="643" spans="52:52" x14ac:dyDescent="0.25">
      <c r="AZ643" t="s">
        <v>857</v>
      </c>
    </row>
    <row r="644" spans="52:52" x14ac:dyDescent="0.25">
      <c r="AZ644" t="s">
        <v>858</v>
      </c>
    </row>
    <row r="645" spans="52:52" x14ac:dyDescent="0.25">
      <c r="AZ645" t="s">
        <v>859</v>
      </c>
    </row>
    <row r="646" spans="52:52" x14ac:dyDescent="0.25">
      <c r="AZ646" t="s">
        <v>860</v>
      </c>
    </row>
    <row r="647" spans="52:52" x14ac:dyDescent="0.25">
      <c r="AZ647" t="s">
        <v>861</v>
      </c>
    </row>
    <row r="648" spans="52:52" x14ac:dyDescent="0.25">
      <c r="AZ648" t="s">
        <v>862</v>
      </c>
    </row>
    <row r="649" spans="52:52" x14ac:dyDescent="0.25">
      <c r="AZ649" t="s">
        <v>863</v>
      </c>
    </row>
    <row r="650" spans="52:52" x14ac:dyDescent="0.25">
      <c r="AZ650" t="s">
        <v>864</v>
      </c>
    </row>
    <row r="651" spans="52:52" x14ac:dyDescent="0.25">
      <c r="AZ651" t="s">
        <v>865</v>
      </c>
    </row>
    <row r="652" spans="52:52" x14ac:dyDescent="0.25">
      <c r="AZ652" t="s">
        <v>866</v>
      </c>
    </row>
    <row r="653" spans="52:52" x14ac:dyDescent="0.25">
      <c r="AZ653" t="s">
        <v>867</v>
      </c>
    </row>
    <row r="654" spans="52:52" x14ac:dyDescent="0.25">
      <c r="AZ654" t="s">
        <v>868</v>
      </c>
    </row>
    <row r="655" spans="52:52" x14ac:dyDescent="0.25">
      <c r="AZ655" t="s">
        <v>869</v>
      </c>
    </row>
    <row r="656" spans="52:52" x14ac:dyDescent="0.25">
      <c r="AZ656" t="s">
        <v>870</v>
      </c>
    </row>
    <row r="657" spans="52:52" x14ac:dyDescent="0.25">
      <c r="AZ657" t="s">
        <v>871</v>
      </c>
    </row>
    <row r="658" spans="52:52" x14ac:dyDescent="0.25">
      <c r="AZ658" t="s">
        <v>872</v>
      </c>
    </row>
    <row r="659" spans="52:52" x14ac:dyDescent="0.25">
      <c r="AZ659" t="s">
        <v>873</v>
      </c>
    </row>
    <row r="660" spans="52:52" x14ac:dyDescent="0.25">
      <c r="AZ660" t="s">
        <v>874</v>
      </c>
    </row>
    <row r="661" spans="52:52" x14ac:dyDescent="0.25">
      <c r="AZ661" t="s">
        <v>875</v>
      </c>
    </row>
    <row r="662" spans="52:52" x14ac:dyDescent="0.25">
      <c r="AZ662" t="s">
        <v>876</v>
      </c>
    </row>
    <row r="663" spans="52:52" x14ac:dyDescent="0.25">
      <c r="AZ663" t="s">
        <v>877</v>
      </c>
    </row>
    <row r="664" spans="52:52" x14ac:dyDescent="0.25">
      <c r="AZ664" t="s">
        <v>878</v>
      </c>
    </row>
    <row r="665" spans="52:52" x14ac:dyDescent="0.25">
      <c r="AZ665" t="s">
        <v>879</v>
      </c>
    </row>
    <row r="666" spans="52:52" x14ac:dyDescent="0.25">
      <c r="AZ666" t="s">
        <v>880</v>
      </c>
    </row>
    <row r="667" spans="52:52" x14ac:dyDescent="0.25">
      <c r="AZ667" t="s">
        <v>881</v>
      </c>
    </row>
    <row r="668" spans="52:52" x14ac:dyDescent="0.25">
      <c r="AZ668" t="s">
        <v>882</v>
      </c>
    </row>
    <row r="669" spans="52:52" x14ac:dyDescent="0.25">
      <c r="AZ669" t="s">
        <v>883</v>
      </c>
    </row>
    <row r="670" spans="52:52" x14ac:dyDescent="0.25">
      <c r="AZ670" t="s">
        <v>884</v>
      </c>
    </row>
    <row r="671" spans="52:52" x14ac:dyDescent="0.25">
      <c r="AZ671" t="s">
        <v>885</v>
      </c>
    </row>
    <row r="672" spans="52:52" x14ac:dyDescent="0.25">
      <c r="AZ672" t="s">
        <v>886</v>
      </c>
    </row>
    <row r="673" spans="52:52" x14ac:dyDescent="0.25">
      <c r="AZ673" t="s">
        <v>887</v>
      </c>
    </row>
    <row r="674" spans="52:52" x14ac:dyDescent="0.25">
      <c r="AZ674" t="s">
        <v>888</v>
      </c>
    </row>
    <row r="675" spans="52:52" x14ac:dyDescent="0.25">
      <c r="AZ675" t="s">
        <v>889</v>
      </c>
    </row>
    <row r="676" spans="52:52" x14ac:dyDescent="0.25">
      <c r="AZ676" t="s">
        <v>890</v>
      </c>
    </row>
    <row r="677" spans="52:52" x14ac:dyDescent="0.25">
      <c r="AZ677" t="s">
        <v>891</v>
      </c>
    </row>
    <row r="678" spans="52:52" x14ac:dyDescent="0.25">
      <c r="AZ678" t="s">
        <v>892</v>
      </c>
    </row>
    <row r="679" spans="52:52" x14ac:dyDescent="0.25">
      <c r="AZ679" t="s">
        <v>893</v>
      </c>
    </row>
    <row r="680" spans="52:52" x14ac:dyDescent="0.25">
      <c r="AZ680" t="s">
        <v>894</v>
      </c>
    </row>
    <row r="681" spans="52:52" x14ac:dyDescent="0.25">
      <c r="AZ681" t="s">
        <v>895</v>
      </c>
    </row>
    <row r="682" spans="52:52" x14ac:dyDescent="0.25">
      <c r="AZ682" t="s">
        <v>896</v>
      </c>
    </row>
    <row r="683" spans="52:52" x14ac:dyDescent="0.25">
      <c r="AZ683" t="s">
        <v>897</v>
      </c>
    </row>
    <row r="684" spans="52:52" x14ac:dyDescent="0.25">
      <c r="AZ684" t="s">
        <v>898</v>
      </c>
    </row>
    <row r="685" spans="52:52" x14ac:dyDescent="0.25">
      <c r="AZ685" t="s">
        <v>899</v>
      </c>
    </row>
    <row r="686" spans="52:52" x14ac:dyDescent="0.25">
      <c r="AZ686" t="s">
        <v>900</v>
      </c>
    </row>
    <row r="687" spans="52:52" x14ac:dyDescent="0.25">
      <c r="AZ687" t="s">
        <v>901</v>
      </c>
    </row>
    <row r="688" spans="52:52" x14ac:dyDescent="0.25">
      <c r="AZ688" t="s">
        <v>902</v>
      </c>
    </row>
    <row r="689" spans="52:52" x14ac:dyDescent="0.25">
      <c r="AZ689" t="s">
        <v>903</v>
      </c>
    </row>
    <row r="690" spans="52:52" x14ac:dyDescent="0.25">
      <c r="AZ690" t="s">
        <v>904</v>
      </c>
    </row>
    <row r="691" spans="52:52" x14ac:dyDescent="0.25">
      <c r="AZ691" t="s">
        <v>905</v>
      </c>
    </row>
    <row r="692" spans="52:52" x14ac:dyDescent="0.25">
      <c r="AZ692" t="s">
        <v>906</v>
      </c>
    </row>
    <row r="693" spans="52:52" x14ac:dyDescent="0.25">
      <c r="AZ693" t="s">
        <v>907</v>
      </c>
    </row>
    <row r="694" spans="52:52" x14ac:dyDescent="0.25">
      <c r="AZ694" t="s">
        <v>908</v>
      </c>
    </row>
    <row r="695" spans="52:52" x14ac:dyDescent="0.25">
      <c r="AZ695" t="s">
        <v>909</v>
      </c>
    </row>
    <row r="696" spans="52:52" x14ac:dyDescent="0.25">
      <c r="AZ696" t="s">
        <v>910</v>
      </c>
    </row>
    <row r="697" spans="52:52" x14ac:dyDescent="0.25">
      <c r="AZ697" t="s">
        <v>911</v>
      </c>
    </row>
    <row r="698" spans="52:52" x14ac:dyDescent="0.25">
      <c r="AZ698" t="s">
        <v>912</v>
      </c>
    </row>
    <row r="699" spans="52:52" x14ac:dyDescent="0.25">
      <c r="AZ699" t="s">
        <v>913</v>
      </c>
    </row>
    <row r="700" spans="52:52" x14ac:dyDescent="0.25">
      <c r="AZ700" t="s">
        <v>914</v>
      </c>
    </row>
    <row r="701" spans="52:52" x14ac:dyDescent="0.25">
      <c r="AZ701" t="s">
        <v>915</v>
      </c>
    </row>
    <row r="702" spans="52:52" x14ac:dyDescent="0.25">
      <c r="AZ702" t="s">
        <v>916</v>
      </c>
    </row>
    <row r="703" spans="52:52" x14ac:dyDescent="0.25">
      <c r="AZ703" t="s">
        <v>917</v>
      </c>
    </row>
    <row r="704" spans="52:52" x14ac:dyDescent="0.25">
      <c r="AZ704" t="s">
        <v>918</v>
      </c>
    </row>
    <row r="705" spans="52:52" x14ac:dyDescent="0.25">
      <c r="AZ705" t="s">
        <v>919</v>
      </c>
    </row>
    <row r="706" spans="52:52" x14ac:dyDescent="0.25">
      <c r="AZ706" t="s">
        <v>920</v>
      </c>
    </row>
    <row r="707" spans="52:52" x14ac:dyDescent="0.25">
      <c r="AZ707" t="s">
        <v>921</v>
      </c>
    </row>
    <row r="708" spans="52:52" x14ac:dyDescent="0.25">
      <c r="AZ708" t="s">
        <v>922</v>
      </c>
    </row>
    <row r="709" spans="52:52" x14ac:dyDescent="0.25">
      <c r="AZ709" t="s">
        <v>923</v>
      </c>
    </row>
    <row r="710" spans="52:52" x14ac:dyDescent="0.25">
      <c r="AZ710" t="s">
        <v>924</v>
      </c>
    </row>
    <row r="711" spans="52:52" x14ac:dyDescent="0.25">
      <c r="AZ711" t="s">
        <v>925</v>
      </c>
    </row>
    <row r="712" spans="52:52" x14ac:dyDescent="0.25">
      <c r="AZ712" t="s">
        <v>926</v>
      </c>
    </row>
    <row r="713" spans="52:52" x14ac:dyDescent="0.25">
      <c r="AZ713" t="s">
        <v>927</v>
      </c>
    </row>
    <row r="714" spans="52:52" x14ac:dyDescent="0.25">
      <c r="AZ714" t="s">
        <v>928</v>
      </c>
    </row>
    <row r="715" spans="52:52" x14ac:dyDescent="0.25">
      <c r="AZ715" t="s">
        <v>929</v>
      </c>
    </row>
    <row r="716" spans="52:52" x14ac:dyDescent="0.25">
      <c r="AZ716" t="s">
        <v>930</v>
      </c>
    </row>
    <row r="717" spans="52:52" x14ac:dyDescent="0.25">
      <c r="AZ717" t="s">
        <v>931</v>
      </c>
    </row>
    <row r="718" spans="52:52" x14ac:dyDescent="0.25">
      <c r="AZ718" t="s">
        <v>932</v>
      </c>
    </row>
    <row r="719" spans="52:52" x14ac:dyDescent="0.25">
      <c r="AZ719" t="s">
        <v>933</v>
      </c>
    </row>
    <row r="720" spans="52:52" x14ac:dyDescent="0.25">
      <c r="AZ720" t="s">
        <v>934</v>
      </c>
    </row>
    <row r="721" spans="52:52" x14ac:dyDescent="0.25">
      <c r="AZ721" t="s">
        <v>935</v>
      </c>
    </row>
    <row r="722" spans="52:52" x14ac:dyDescent="0.25">
      <c r="AZ722" t="s">
        <v>936</v>
      </c>
    </row>
    <row r="723" spans="52:52" x14ac:dyDescent="0.25">
      <c r="AZ723" t="s">
        <v>937</v>
      </c>
    </row>
    <row r="724" spans="52:52" x14ac:dyDescent="0.25">
      <c r="AZ724" t="s">
        <v>938</v>
      </c>
    </row>
    <row r="725" spans="52:52" x14ac:dyDescent="0.25">
      <c r="AZ725" t="s">
        <v>939</v>
      </c>
    </row>
    <row r="726" spans="52:52" x14ac:dyDescent="0.25">
      <c r="AZ726" t="s">
        <v>940</v>
      </c>
    </row>
    <row r="727" spans="52:52" x14ac:dyDescent="0.25">
      <c r="AZ727" t="s">
        <v>941</v>
      </c>
    </row>
    <row r="728" spans="52:52" x14ac:dyDescent="0.25">
      <c r="AZ728" t="s">
        <v>942</v>
      </c>
    </row>
    <row r="729" spans="52:52" x14ac:dyDescent="0.25">
      <c r="AZ729" t="s">
        <v>943</v>
      </c>
    </row>
    <row r="730" spans="52:52" x14ac:dyDescent="0.25">
      <c r="AZ730" t="s">
        <v>944</v>
      </c>
    </row>
    <row r="731" spans="52:52" x14ac:dyDescent="0.25">
      <c r="AZ731" t="s">
        <v>945</v>
      </c>
    </row>
    <row r="732" spans="52:52" x14ac:dyDescent="0.25">
      <c r="AZ732" t="s">
        <v>946</v>
      </c>
    </row>
    <row r="733" spans="52:52" x14ac:dyDescent="0.25">
      <c r="AZ733" t="s">
        <v>947</v>
      </c>
    </row>
    <row r="734" spans="52:52" x14ac:dyDescent="0.25">
      <c r="AZ734" t="s">
        <v>948</v>
      </c>
    </row>
  </sheetData>
  <dataValidations count="24">
    <dataValidation type="list" errorStyle="warning" allowBlank="1" showErrorMessage="1" errorTitle="Invalid value" error="Select a value from the dropdown list." sqref="A10:A101">
      <formula1>$AT$2:$AT$3</formula1>
    </dataValidation>
    <dataValidation type="list" errorStyle="warning" allowBlank="1" showErrorMessage="1" errorTitle="Invalid value" error="Select a value from the dropdown list." sqref="A2:A101">
      <formula1>$AT$2:$AT$3</formula1>
    </dataValidation>
    <dataValidation type="decimal" errorStyle="warning" operator="greaterThanOrEqual" allowBlank="1" showErrorMessage="1" errorTitle="Invalid Amount" error="Amount must be a positive number." sqref="AA10:AA101">
      <formula1>0</formula1>
    </dataValidation>
    <dataValidation type="decimal" errorStyle="warning" operator="greaterThanOrEqual" allowBlank="1" showErrorMessage="1" errorTitle="Invalid Amount" error="Amount must be a positive number." sqref="AA2:AA101">
      <formula1>0</formula1>
    </dataValidation>
    <dataValidation type="decimal" errorStyle="warning" operator="greaterThanOrEqual" allowBlank="1" showErrorMessage="1" errorTitle="Invalid Discount" error="Discount must be a positive number." sqref="AB10:AB101">
      <formula1>0</formula1>
    </dataValidation>
    <dataValidation type="decimal" errorStyle="warning" operator="greaterThanOrEqual" allowBlank="1" showErrorMessage="1" errorTitle="Invalid Discount" error="Discount must be a positive number." sqref="AB2:AB101">
      <formula1>0</formula1>
    </dataValidation>
    <dataValidation type="decimal" errorStyle="warning" operator="greaterThan" allowBlank="1" showErrorMessage="1" errorTitle="Invalid Quantity" error="Quantity must be a positive number." sqref="AE10:AE101">
      <formula1>0</formula1>
    </dataValidation>
    <dataValidation type="decimal" errorStyle="warning" operator="greaterThan" allowBlank="1" showErrorMessage="1" errorTitle="Invalid Quantity" error="Quantity must be a positive number." sqref="AE2:AE101">
      <formula1>0</formula1>
    </dataValidation>
    <dataValidation type="list" errorStyle="warning" allowBlank="1" showErrorMessage="1" errorTitle="Invalid VAT" error="Select 18% or 25% from the dropdown." sqref="AI10:AI101">
      <formula1>$BA$2:$BA$3</formula1>
    </dataValidation>
    <dataValidation type="list" errorStyle="warning" allowBlank="1" showErrorMessage="1" errorTitle="Invalid VAT" error="Select 18% or 25% from the dropdown." sqref="AI2:AI101">
      <formula1>$BA$2:$BA$3</formula1>
    </dataValidation>
    <dataValidation type="decimal" errorStyle="warning" operator="greaterThanOrEqual" allowBlank="1" showErrorMessage="1" errorTitle="Invalid Extra Tax" error="Extra Tax must be a positive number." sqref="AO10:AO101">
      <formula1>0</formula1>
    </dataValidation>
    <dataValidation type="decimal" errorStyle="warning" operator="greaterThanOrEqual" allowBlank="1" showErrorMessage="1" errorTitle="Invalid Extra Tax" error="Extra Tax must be a positive number." sqref="AO2:AO101">
      <formula1>0</formula1>
    </dataValidation>
    <dataValidation type="decimal" errorStyle="warning" operator="greaterThanOrEqual" allowBlank="1" showErrorMessage="1" errorTitle="Invalid Advance Income Tax" error="Advance Income Tax must be a positive number." sqref="AR10:AR101">
      <formula1>0</formula1>
    </dataValidation>
    <dataValidation type="decimal" errorStyle="warning" operator="greaterThanOrEqual" allowBlank="1" showErrorMessage="1" errorTitle="Invalid Advance Income Tax" error="Advance Income Tax must be a positive number." sqref="AR2:AR101">
      <formula1>0</formula1>
    </dataValidation>
    <dataValidation type="list" allowBlank="1" showErrorMessage="1" sqref="R10:R101">
      <formula1>$AV$2:$AV$27</formula1>
    </dataValidation>
    <dataValidation type="list" allowBlank="1" showErrorMessage="1" sqref="R2:R101">
      <formula1>$AV$2:$AV$27</formula1>
    </dataValidation>
    <dataValidation type="list" errorStyle="warning" allowBlank="1" showErrorMessage="1" errorTitle="Invalid Rate" error="Select a valid rate from the dropdown list." sqref="S10:S101">
      <formula1>$AX$2:$AX$68</formula1>
    </dataValidation>
    <dataValidation type="list" errorStyle="warning" allowBlank="1" showErrorMessage="1" errorTitle="Invalid Rate" error="Select a valid rate from the dropdown list." sqref="S2:S101">
      <formula1>$AX$2:$AX$68</formula1>
    </dataValidation>
    <dataValidation type="list" errorStyle="warning" allowBlank="1" showErrorMessage="1" errorTitle="Invalid SRO Schedule" error="Select a valid SRO Schedule from the dropdown list." sqref="T10:T101">
      <formula1>$AY$2:$AY$26</formula1>
    </dataValidation>
    <dataValidation type="list" errorStyle="warning" allowBlank="1" showErrorMessage="1" errorTitle="Invalid SRO Schedule" error="Select a valid SRO Schedule from the dropdown list." sqref="T2:T101">
      <formula1>$AY$2:$AY$26</formula1>
    </dataValidation>
    <dataValidation type="list" errorStyle="warning" allowBlank="1" showErrorMessage="1" errorTitle="Invalid SRO Item" error="Select a valid SRO Item from the dropdown list." sqref="U10:U101">
      <formula1>$AZ$2:$AZ$734</formula1>
    </dataValidation>
    <dataValidation type="list" errorStyle="warning" allowBlank="1" showErrorMessage="1" errorTitle="Invalid SRO Item" error="Select a valid SRO Item from the dropdown list." sqref="U2:U101">
      <formula1>$AZ$2:$AZ$734</formula1>
    </dataValidation>
    <dataValidation type="list" errorStyle="warning" allowBlank="1" showErrorMessage="1" errorTitle="Invalid UoM" error="Select a valid Unit of Measurement from the dropdown list." sqref="W10:W101">
      <formula1>$AW$2:$AW$33</formula1>
    </dataValidation>
    <dataValidation type="list" errorStyle="warning" allowBlank="1" showErrorMessage="1" errorTitle="Invalid UoM" error="Select a valid Unit of Measurement from the dropdown list." sqref="W2:W101">
      <formula1>$AW$2:$AW$33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2026-09-29T14:01:19Z</dcterms:created>
  <dcterms:modified xsi:type="dcterms:W3CDTF">2026-09-29T14:10:59Z</dcterms:modified>
  <cp:category/>
</cp:coreProperties>
</file>