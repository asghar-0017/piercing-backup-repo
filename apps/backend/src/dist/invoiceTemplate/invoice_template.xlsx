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" state="visible" r:id="rId4"/>
  </sheets>
  <calcPr calcId="171027"/>
</workbook>
</file>

<file path=xl/sharedStrings.xml><?xml version="1.0" encoding="utf-8"?>
<sst xmlns="http://schemas.openxmlformats.org/spreadsheetml/2006/main" count="948" uniqueCount="947">
  <si>
    <t>Invoice Type</t>
  </si>
  <si>
    <t>Invoice Date</t>
  </si>
  <si>
    <t>DN Invoice Ref No</t>
  </si>
  <si>
    <t>Company Invoice Ref No</t>
  </si>
  <si>
    <t>CUST. A/C NO</t>
  </si>
  <si>
    <t>CUST. LPO NO</t>
  </si>
  <si>
    <t>LPO DATE</t>
  </si>
  <si>
    <t>DEL. NOTE NO</t>
  </si>
  <si>
    <t>SP</t>
  </si>
  <si>
    <t>PRODUCT ORIGIN</t>
  </si>
  <si>
    <t>PRODUCT CERTIFIED BY</t>
  </si>
  <si>
    <t>PAYMENT TERMS</t>
  </si>
  <si>
    <t>PAYMENT DUE</t>
  </si>
  <si>
    <t>GROUP</t>
  </si>
  <si>
    <t>BILL TO</t>
  </si>
  <si>
    <t>SHIP TO</t>
  </si>
  <si>
    <t>Buyer NTN/CNIC</t>
  </si>
  <si>
    <t>Transaction Type</t>
  </si>
  <si>
    <t>Rate</t>
  </si>
  <si>
    <t>SRO Schedule No</t>
  </si>
  <si>
    <t>SRO Item No</t>
  </si>
  <si>
    <t>Sale Type</t>
  </si>
  <si>
    <t>Unit Of Measurement for (FBR)</t>
  </si>
  <si>
    <t>Unit Of Measurement for (Internal)</t>
  </si>
  <si>
    <t>Product Name</t>
  </si>
  <si>
    <t>Product Weight</t>
  </si>
  <si>
    <t>Value Sales (Excl ST)</t>
  </si>
  <si>
    <t>Qty (For Internal Use)</t>
  </si>
  <si>
    <t>Quantity in KGS (For FBR)</t>
  </si>
  <si>
    <t>Item Code</t>
  </si>
  <si>
    <t>Units</t>
  </si>
  <si>
    <t>Courier Charges</t>
  </si>
  <si>
    <t>VAT</t>
  </si>
  <si>
    <t>Calculated VAT 18%</t>
  </si>
  <si>
    <t>Calculated VAT 25%</t>
  </si>
  <si>
    <t>Unit Cost</t>
  </si>
  <si>
    <t>Sales Tax Applicable</t>
  </si>
  <si>
    <t>ST Withheld at Source</t>
  </si>
  <si>
    <t>Extra Tax</t>
  </si>
  <si>
    <t>Further Tax</t>
  </si>
  <si>
    <t>FED Payable</t>
  </si>
  <si>
    <t>Advance Income Tax</t>
  </si>
  <si>
    <t>Discount</t>
  </si>
  <si>
    <t>Total Values</t>
  </si>
  <si>
    <t>Sale Invoice</t>
  </si>
  <si>
    <t>BALOCHISTAN</t>
  </si>
  <si>
    <t>75 - Goods at standard rate (default)</t>
  </si>
  <si>
    <t>1000 kWh</t>
  </si>
  <si>
    <t>18%</t>
  </si>
  <si>
    <t>N/A</t>
  </si>
  <si>
    <t>Debit Note</t>
  </si>
  <si>
    <t>AZAD JAMMU AND KASHMIR</t>
  </si>
  <si>
    <t>24 - Goods at Reduced Rate</t>
  </si>
  <si>
    <t>40KG</t>
  </si>
  <si>
    <t>0.5%</t>
  </si>
  <si>
    <t>01(I)/2022</t>
  </si>
  <si>
    <t>-</t>
  </si>
  <si>
    <t>CAPITAL TERRITORY</t>
  </si>
  <si>
    <t>80 - Goods at zero-rate</t>
  </si>
  <si>
    <t>Bag</t>
  </si>
  <si>
    <t>1%</t>
  </si>
  <si>
    <t>1450(I)/2021</t>
  </si>
  <si>
    <t>1</t>
  </si>
  <si>
    <t>KHYBER PAKHTUNKHWA</t>
  </si>
  <si>
    <t>85 - Petroleum Products</t>
  </si>
  <si>
    <t>Barrels</t>
  </si>
  <si>
    <t>1.5%</t>
  </si>
  <si>
    <t>1579(1)/2021</t>
  </si>
  <si>
    <t>1(A)</t>
  </si>
  <si>
    <t>PUNJAB</t>
  </si>
  <si>
    <t>62 - Electricity Supply to Retailers</t>
  </si>
  <si>
    <t>Bill of lading</t>
  </si>
  <si>
    <t>2%</t>
  </si>
  <si>
    <t>1604(I)/2021</t>
  </si>
  <si>
    <t>1(B)</t>
  </si>
  <si>
    <t>SINDH</t>
  </si>
  <si>
    <t>129 - SIM</t>
  </si>
  <si>
    <t>Carat</t>
  </si>
  <si>
    <t>3%</t>
  </si>
  <si>
    <t>297(I)/2023-Table-I</t>
  </si>
  <si>
    <t>1(E)</t>
  </si>
  <si>
    <t>GILGIT BALTISTAN</t>
  </si>
  <si>
    <t>77 - Gas to CNG stations</t>
  </si>
  <si>
    <t>Cubic Metre</t>
  </si>
  <si>
    <t>4.5%</t>
  </si>
  <si>
    <t>297(I)/2023-Table-II</t>
  </si>
  <si>
    <t>1(F)</t>
  </si>
  <si>
    <t>122 - Mobile Phones</t>
  </si>
  <si>
    <t>Dozen</t>
  </si>
  <si>
    <t>5%</t>
  </si>
  <si>
    <t>321(I)/2022</t>
  </si>
  <si>
    <t>1(G)</t>
  </si>
  <si>
    <t>25 - Processing/Conversion of Goods</t>
  </si>
  <si>
    <t>Foot</t>
  </si>
  <si>
    <t>7%</t>
  </si>
  <si>
    <t>327(I)/2008</t>
  </si>
  <si>
    <t>1(a)</t>
  </si>
  <si>
    <t xml:space="preserve">23 -  3rd Schedule Goods </t>
  </si>
  <si>
    <t>Gallon</t>
  </si>
  <si>
    <t>7.5%</t>
  </si>
  <si>
    <t>581(1)/2024</t>
  </si>
  <si>
    <t>1(b)</t>
  </si>
  <si>
    <t>21 - Goods (FED in ST Mode)</t>
  </si>
  <si>
    <t>Gram</t>
  </si>
  <si>
    <t>8%</t>
  </si>
  <si>
    <t>587(I)/2017</t>
  </si>
  <si>
    <t>1(i)</t>
  </si>
  <si>
    <t xml:space="preserve">22 -  Services (FED in ST Mode) </t>
  </si>
  <si>
    <t>KG</t>
  </si>
  <si>
    <t>8.5%</t>
  </si>
  <si>
    <t>6th Schd Table I</t>
  </si>
  <si>
    <t>1(i)(a)</t>
  </si>
  <si>
    <t xml:space="preserve">18 -  Services </t>
  </si>
  <si>
    <t>KWH</t>
  </si>
  <si>
    <t>10%</t>
  </si>
  <si>
    <t>6th Schd Table II</t>
  </si>
  <si>
    <t>1(i)(b)</t>
  </si>
  <si>
    <t>81 - Exempt goods</t>
  </si>
  <si>
    <t>Kilogram</t>
  </si>
  <si>
    <t>12%</t>
  </si>
  <si>
    <t>6th Schd Table III</t>
  </si>
  <si>
    <t>1(i)(i)</t>
  </si>
  <si>
    <t>82 - DTRE goods</t>
  </si>
  <si>
    <t>Liter</t>
  </si>
  <si>
    <t>12.5%</t>
  </si>
  <si>
    <t>88(I)/2022</t>
  </si>
  <si>
    <t>1(ii)</t>
  </si>
  <si>
    <t>130 - Cotton ginners</t>
  </si>
  <si>
    <t>MMBTU</t>
  </si>
  <si>
    <t>12.75%</t>
  </si>
  <si>
    <t>EIGHTH SCHEDULE Table 1</t>
  </si>
  <si>
    <t>1(ii)(a)</t>
  </si>
  <si>
    <t>132 - Electric Vehicle</t>
  </si>
  <si>
    <t>MT</t>
  </si>
  <si>
    <t>13%</t>
  </si>
  <si>
    <t>EIGHTH SCHEDULE Table 2</t>
  </si>
  <si>
    <t>1(ii)(b)</t>
  </si>
  <si>
    <t>134 - Cement /Concrete Block</t>
  </si>
  <si>
    <t>Mega Watt</t>
  </si>
  <si>
    <t>14%</t>
  </si>
  <si>
    <t>Eighth Schedule Table 1</t>
  </si>
  <si>
    <t>1(ii)(ii)(a)</t>
  </si>
  <si>
    <t>84 - Telecommunication services</t>
  </si>
  <si>
    <t>Meter</t>
  </si>
  <si>
    <t>15%</t>
  </si>
  <si>
    <t>FIFTH SCHEDULE</t>
  </si>
  <si>
    <t>1(ii)(ii)(b)</t>
  </si>
  <si>
    <t>123 - Steel melting and re-rolling</t>
  </si>
  <si>
    <t>NO</t>
  </si>
  <si>
    <t>17%</t>
  </si>
  <si>
    <t>ICTO</t>
  </si>
  <si>
    <t>1(iii)</t>
  </si>
  <si>
    <t>125 - Ship breaking</t>
  </si>
  <si>
    <t>Numbers, pieces, units</t>
  </si>
  <si>
    <t>Rs.700/MT</t>
  </si>
  <si>
    <t>ICTO TABLE I</t>
  </si>
  <si>
    <t>1(iv)</t>
  </si>
  <si>
    <t>115 - Potassium Chlorate</t>
  </si>
  <si>
    <t>Others</t>
  </si>
  <si>
    <t>0%</t>
  </si>
  <si>
    <t>ICTO TABLE II</t>
  </si>
  <si>
    <t>1(v)</t>
  </si>
  <si>
    <t>178 - CNG Sales</t>
  </si>
  <si>
    <t>Packs</t>
  </si>
  <si>
    <t>Exempt</t>
  </si>
  <si>
    <t>NINTH SCHEDULE</t>
  </si>
  <si>
    <t>1(vi)</t>
  </si>
  <si>
    <t>181 - Toll Manufacturing</t>
  </si>
  <si>
    <t>Pair</t>
  </si>
  <si>
    <t>0.20%</t>
  </si>
  <si>
    <t>SECTION 49</t>
  </si>
  <si>
    <t>10</t>
  </si>
  <si>
    <t>138 - Non-Adjustable Supplies</t>
  </si>
  <si>
    <t>Pcs</t>
  </si>
  <si>
    <t>0.46%</t>
  </si>
  <si>
    <t>Section 4(b)</t>
  </si>
  <si>
    <t>100</t>
  </si>
  <si>
    <t>139 - Goods as per SRO.297(|)/2023</t>
  </si>
  <si>
    <t>Pound</t>
  </si>
  <si>
    <t>1.43%</t>
  </si>
  <si>
    <t>100A</t>
  </si>
  <si>
    <t>SET</t>
  </si>
  <si>
    <t>1.63%</t>
  </si>
  <si>
    <t>100A((i))</t>
  </si>
  <si>
    <t>SqY</t>
  </si>
  <si>
    <t>2.5%</t>
  </si>
  <si>
    <t>100A((ii))</t>
  </si>
  <si>
    <t>Square Foot</t>
  </si>
  <si>
    <t>2.70%</t>
  </si>
  <si>
    <t>100A((iii))</t>
  </si>
  <si>
    <t>Square Metre</t>
  </si>
  <si>
    <t>2.74%</t>
  </si>
  <si>
    <t>100B</t>
  </si>
  <si>
    <t>Thousand Unit</t>
  </si>
  <si>
    <t>3.67%</t>
  </si>
  <si>
    <t>100B((i))</t>
  </si>
  <si>
    <t>Timber Logs</t>
  </si>
  <si>
    <t>4.77%</t>
  </si>
  <si>
    <t>100B((ii))</t>
  </si>
  <si>
    <t>5.44%</t>
  </si>
  <si>
    <t>100B((iii))</t>
  </si>
  <si>
    <t>6.70%</t>
  </si>
  <si>
    <t>100B((iv))</t>
  </si>
  <si>
    <t>6.75%</t>
  </si>
  <si>
    <t>100B((v))</t>
  </si>
  <si>
    <t>6.84%</t>
  </si>
  <si>
    <t>100B((vi))</t>
  </si>
  <si>
    <t>7.20%</t>
  </si>
  <si>
    <t>100C</t>
  </si>
  <si>
    <t>7.37%</t>
  </si>
  <si>
    <t>101</t>
  </si>
  <si>
    <t>7.56%</t>
  </si>
  <si>
    <t>102</t>
  </si>
  <si>
    <t>8.19%</t>
  </si>
  <si>
    <t>103</t>
  </si>
  <si>
    <t>8.30%</t>
  </si>
  <si>
    <t>104</t>
  </si>
  <si>
    <t>9.08%</t>
  </si>
  <si>
    <t>104(a)</t>
  </si>
  <si>
    <t>9.15%</t>
  </si>
  <si>
    <t>104(b)</t>
  </si>
  <si>
    <t>10.07%</t>
  </si>
  <si>
    <t>104(c)</t>
  </si>
  <si>
    <t>10.32%</t>
  </si>
  <si>
    <t>104(d)</t>
  </si>
  <si>
    <t>10.54%</t>
  </si>
  <si>
    <t>104(e)</t>
  </si>
  <si>
    <t>10.77%</t>
  </si>
  <si>
    <t>104(f)</t>
  </si>
  <si>
    <t>11.64%</t>
  </si>
  <si>
    <t>104(g)</t>
  </si>
  <si>
    <t>15.44%</t>
  </si>
  <si>
    <t>104(h)</t>
  </si>
  <si>
    <t>16.40%</t>
  </si>
  <si>
    <t>105</t>
  </si>
  <si>
    <t>Rs.250</t>
  </si>
  <si>
    <t>106</t>
  </si>
  <si>
    <t>25%</t>
  </si>
  <si>
    <t>107</t>
  </si>
  <si>
    <t>16%</t>
  </si>
  <si>
    <t>108</t>
  </si>
  <si>
    <t>19.5%</t>
  </si>
  <si>
    <t>108(a)</t>
  </si>
  <si>
    <t>200/bill</t>
  </si>
  <si>
    <t>108(b)</t>
  </si>
  <si>
    <t>18.5%</t>
  </si>
  <si>
    <t>108(c)</t>
  </si>
  <si>
    <t>50/SqY</t>
  </si>
  <si>
    <t>108(d)</t>
  </si>
  <si>
    <t>100/SqY</t>
  </si>
  <si>
    <t>108(e)</t>
  </si>
  <si>
    <t>Rs.1000</t>
  </si>
  <si>
    <t>108(f)</t>
  </si>
  <si>
    <t>DTRE</t>
  </si>
  <si>
    <t>108(g)</t>
  </si>
  <si>
    <t>Rs.2</t>
  </si>
  <si>
    <t>108(h)</t>
  </si>
  <si>
    <t>Rs.3</t>
  </si>
  <si>
    <t>108(i)</t>
  </si>
  <si>
    <t>Rs.5</t>
  </si>
  <si>
    <t>108(j)</t>
  </si>
  <si>
    <t>Rs.10</t>
  </si>
  <si>
    <t>108(k)</t>
  </si>
  <si>
    <t>18% along with rupees 60 per kilogram</t>
  </si>
  <si>
    <t>109</t>
  </si>
  <si>
    <t>Rs.200</t>
  </si>
  <si>
    <t>11</t>
  </si>
  <si>
    <t>11(a)</t>
  </si>
  <si>
    <t>11(b)</t>
  </si>
  <si>
    <t>11(i)</t>
  </si>
  <si>
    <t>11(ii)</t>
  </si>
  <si>
    <t>11(iii)</t>
  </si>
  <si>
    <t>11(iv)</t>
  </si>
  <si>
    <t>11(v)</t>
  </si>
  <si>
    <t>11(vi)</t>
  </si>
  <si>
    <t>11(vii)</t>
  </si>
  <si>
    <t>11(viii)</t>
  </si>
  <si>
    <t>110</t>
  </si>
  <si>
    <t>110(a)</t>
  </si>
  <si>
    <t>110(b)</t>
  </si>
  <si>
    <t>110(c)</t>
  </si>
  <si>
    <t>110(d)</t>
  </si>
  <si>
    <t>110(e)</t>
  </si>
  <si>
    <t>110(f)</t>
  </si>
  <si>
    <t>110(g)</t>
  </si>
  <si>
    <t>110(h)</t>
  </si>
  <si>
    <t>110(i)</t>
  </si>
  <si>
    <t>110(j)</t>
  </si>
  <si>
    <t>111</t>
  </si>
  <si>
    <t>112</t>
  </si>
  <si>
    <t>112A</t>
  </si>
  <si>
    <t>112A(i)</t>
  </si>
  <si>
    <t>112A(ii)</t>
  </si>
  <si>
    <t>112A(iii)</t>
  </si>
  <si>
    <t>112A(iv)</t>
  </si>
  <si>
    <t>112A(ix)</t>
  </si>
  <si>
    <t>112A(v)</t>
  </si>
  <si>
    <t>112A(vi)</t>
  </si>
  <si>
    <t>112A(vii)</t>
  </si>
  <si>
    <t>112A(viii)</t>
  </si>
  <si>
    <t>112A(x)</t>
  </si>
  <si>
    <t/>
  </si>
  <si>
    <t>112A(xi)</t>
  </si>
  <si>
    <t>112A(xii)</t>
  </si>
  <si>
    <t>INSTRUCTIONS:</t>
  </si>
  <si>
    <t>112A(xiii)</t>
  </si>
  <si>
    <t>1. This Excel template includes automatic calculations and dropdown validations.</t>
  </si>
  <si>
    <t>112A(xiv)</t>
  </si>
  <si>
    <t>2. Fill in the required fields: Invoice Type, Invoice Date, Company Invoice Ref No, Buyer NTN/CNIC.</t>
  </si>
  <si>
    <t>112A(xix)</t>
  </si>
  <si>
    <t>3. Select Transaction Type from the dropdown list - Sales Type will auto-populate.</t>
  </si>
  <si>
    <t>112A(xv)</t>
  </si>
  <si>
    <t>4. Enter Product Name, HS Code, Quantity, and Value Sales (Excl. ST).</t>
  </si>
  <si>
    <t>112A(xvi)</t>
  </si>
  <si>
    <t>5. Select Rate, SRO Schedule No, SRO Item No, and UoM from dropdown lists.</t>
  </si>
  <si>
    <t>112A(xvii)</t>
  </si>
  <si>
    <t>6. Unit Price auto-calculates as Value Sales (Excl. ST) ÷ Quantity.</t>
  </si>
  <si>
    <t>112A(xviii)</t>
  </si>
  <si>
    <t>7. Sales Tax Applicable auto-calculates: Value Sales (Excl. ST) × (Rate ÷ 100).</t>
  </si>
  <si>
    <t>112A(xx)</t>
  </si>
  <si>
    <t>8. Total Values auto-calculates: (Value Excl. ST + Sales Tax + FED + ST W/H + Further Tax + Extra Tax) minus Discount.</t>
  </si>
  <si>
    <t>112A(xxi)</t>
  </si>
  <si>
    <t>9. Extra Tax, Further Tax, FED Payable, and Discount are optional fields.</t>
  </si>
  <si>
    <t>112A(xxii)</t>
  </si>
  <si>
    <t>10. All dropdown lists contain values from the FBR API system.</t>
  </si>
  <si>
    <t>112A(xxiii)</t>
  </si>
  <si>
    <t>11. For best results, save the file as .xlsx format before uploading.</t>
  </si>
  <si>
    <t>112A(xxiv)</t>
  </si>
  <si>
    <t>112A(xxv)</t>
  </si>
  <si>
    <t>112B</t>
  </si>
  <si>
    <t>112B(i)</t>
  </si>
  <si>
    <t>112B(ii)</t>
  </si>
  <si>
    <t>112B(iii)</t>
  </si>
  <si>
    <t>112B(iv)</t>
  </si>
  <si>
    <t>112B(v)</t>
  </si>
  <si>
    <t>112B(vi)</t>
  </si>
  <si>
    <t>112B(vii)</t>
  </si>
  <si>
    <t>112C</t>
  </si>
  <si>
    <t>112C(i)</t>
  </si>
  <si>
    <t>112C(ii)</t>
  </si>
  <si>
    <t>112C(iii)</t>
  </si>
  <si>
    <t>112C(iv)</t>
  </si>
  <si>
    <t>112C(ix)</t>
  </si>
  <si>
    <t>112C(v)</t>
  </si>
  <si>
    <t>112C(vi)</t>
  </si>
  <si>
    <t>112C(vii)</t>
  </si>
  <si>
    <t>112C(viii)</t>
  </si>
  <si>
    <t>112C(x)</t>
  </si>
  <si>
    <t>112D</t>
  </si>
  <si>
    <t>112E</t>
  </si>
  <si>
    <t>112F</t>
  </si>
  <si>
    <t>112G</t>
  </si>
  <si>
    <t>112H</t>
  </si>
  <si>
    <t>112H(i)</t>
  </si>
  <si>
    <t>112H(ii)</t>
  </si>
  <si>
    <t>112H(iii)</t>
  </si>
  <si>
    <t>112H(iv)</t>
  </si>
  <si>
    <t>112H(ix)</t>
  </si>
  <si>
    <t>112H(v)</t>
  </si>
  <si>
    <t>112H(vi)</t>
  </si>
  <si>
    <t>112H(vii)</t>
  </si>
  <si>
    <t>112H(viii)</t>
  </si>
  <si>
    <t>112H(x)</t>
  </si>
  <si>
    <t>112H(xi)</t>
  </si>
  <si>
    <t>112I</t>
  </si>
  <si>
    <t>112I(i)</t>
  </si>
  <si>
    <t>112J</t>
  </si>
  <si>
    <t>112J(i)</t>
  </si>
  <si>
    <t>112J(ii)</t>
  </si>
  <si>
    <t>112J(iii)</t>
  </si>
  <si>
    <t>112J(iv)</t>
  </si>
  <si>
    <t>112J(ix)</t>
  </si>
  <si>
    <t>112J(v)</t>
  </si>
  <si>
    <t>112J(vi)</t>
  </si>
  <si>
    <t>112J(vii)</t>
  </si>
  <si>
    <t>112J(viii)</t>
  </si>
  <si>
    <t>112J(viii)(a)</t>
  </si>
  <si>
    <t>112J(viii)(b)</t>
  </si>
  <si>
    <t>112J(viii)(c)</t>
  </si>
  <si>
    <t>112J(x)</t>
  </si>
  <si>
    <t>112J(xi)</t>
  </si>
  <si>
    <t>112J(xii)</t>
  </si>
  <si>
    <t>112K</t>
  </si>
  <si>
    <t>112K(i)</t>
  </si>
  <si>
    <t>112K(ii)</t>
  </si>
  <si>
    <t>112K(iii)</t>
  </si>
  <si>
    <t>112K(iv)</t>
  </si>
  <si>
    <t>112K(ix)</t>
  </si>
  <si>
    <t>112K(v)</t>
  </si>
  <si>
    <t>112K(vi)</t>
  </si>
  <si>
    <t>112K(vii)</t>
  </si>
  <si>
    <t>112K(viii)</t>
  </si>
  <si>
    <t>112K(x)</t>
  </si>
  <si>
    <t>112K(xi)</t>
  </si>
  <si>
    <t>112K(xii)</t>
  </si>
  <si>
    <t>112K(xiii)</t>
  </si>
  <si>
    <t>112K(xiv)</t>
  </si>
  <si>
    <t>112K(xv)</t>
  </si>
  <si>
    <t>112K(xvi)</t>
  </si>
  <si>
    <t>112K(xvii)</t>
  </si>
  <si>
    <t>112K(xviii)</t>
  </si>
  <si>
    <t>112L</t>
  </si>
  <si>
    <t>113</t>
  </si>
  <si>
    <t>113(i)</t>
  </si>
  <si>
    <t>113(ii)</t>
  </si>
  <si>
    <t>113(iii)</t>
  </si>
  <si>
    <t>114</t>
  </si>
  <si>
    <t>114(i)</t>
  </si>
  <si>
    <t>114(ii)</t>
  </si>
  <si>
    <t>115</t>
  </si>
  <si>
    <t>116</t>
  </si>
  <si>
    <t>117</t>
  </si>
  <si>
    <t>118</t>
  </si>
  <si>
    <t>119</t>
  </si>
  <si>
    <t>12</t>
  </si>
  <si>
    <t>12(xix)</t>
  </si>
  <si>
    <t>12(xvii)</t>
  </si>
  <si>
    <t>12(xx)</t>
  </si>
  <si>
    <t>12(xxi)</t>
  </si>
  <si>
    <t>12(xxii)</t>
  </si>
  <si>
    <t>12(xxiii)</t>
  </si>
  <si>
    <t>12(xxiv)</t>
  </si>
  <si>
    <t>12(xxv)</t>
  </si>
  <si>
    <t>12(xxvi)</t>
  </si>
  <si>
    <t>12(xxvii)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</si>
  <si>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</si>
  <si>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</si>
  <si>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</si>
  <si>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</si>
  <si>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</si>
  <si>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</si>
  <si>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</si>
  <si>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</si>
  <si>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</si>
  <si>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</si>
  <si>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</si>
  <si>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</si>
  <si>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</si>
  <si>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</si>
  <si>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</si>
  <si>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</si>
  <si>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</si>
  <si>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</si>
  <si>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</si>
  <si>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</si>
  <si>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</si>
  <si>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</t>
  </si>
  <si>
    <t>14(1)</t>
  </si>
  <si>
    <t>14(1)(i)</t>
  </si>
  <si>
    <t>14(1)(ii)</t>
  </si>
  <si>
    <t>14(1)(iii)</t>
  </si>
  <si>
    <t>14(1)(iv)</t>
  </si>
  <si>
    <t>14(1)(v)</t>
  </si>
  <si>
    <t>14(1)(vi)</t>
  </si>
  <si>
    <t>14(2)</t>
  </si>
  <si>
    <t>140</t>
  </si>
  <si>
    <t>141</t>
  </si>
  <si>
    <t>142</t>
  </si>
  <si>
    <t>143</t>
  </si>
  <si>
    <t>143(i)</t>
  </si>
  <si>
    <t>143(i)(a)</t>
  </si>
  <si>
    <t>143(i)(b)</t>
  </si>
  <si>
    <t>143(i)(c)</t>
  </si>
  <si>
    <t>143(i)(d)</t>
  </si>
  <si>
    <t>144</t>
  </si>
  <si>
    <t>145</t>
  </si>
  <si>
    <t>145(i)</t>
  </si>
  <si>
    <t>145(ii)</t>
  </si>
  <si>
    <t>145(iii)</t>
  </si>
  <si>
    <t>145(iv)</t>
  </si>
  <si>
    <t>145(ix)</t>
  </si>
  <si>
    <t>145(v)</t>
  </si>
  <si>
    <t>145(vi)</t>
  </si>
  <si>
    <t>145(vii)</t>
  </si>
  <si>
    <t>145(viii)</t>
  </si>
  <si>
    <t>145(x)</t>
  </si>
  <si>
    <t>146</t>
  </si>
  <si>
    <t>146(a)</t>
  </si>
  <si>
    <t>146(b)</t>
  </si>
  <si>
    <t>146(c)</t>
  </si>
  <si>
    <t>146(d)</t>
  </si>
  <si>
    <t>146(e)</t>
  </si>
  <si>
    <t>146(f)</t>
  </si>
  <si>
    <t>146(g)</t>
  </si>
  <si>
    <t>146(h)</t>
  </si>
  <si>
    <t>146(i)</t>
  </si>
  <si>
    <t>146(j)</t>
  </si>
  <si>
    <t>147</t>
  </si>
  <si>
    <t>148</t>
  </si>
  <si>
    <t>149</t>
  </si>
  <si>
    <t>14A</t>
  </si>
  <si>
    <t>14A(10)</t>
  </si>
  <si>
    <t>14A(11)</t>
  </si>
  <si>
    <t>14A(12)</t>
  </si>
  <si>
    <t>14A(12a)</t>
  </si>
  <si>
    <t>14A(12b)</t>
  </si>
  <si>
    <t>14A(12b)(i)</t>
  </si>
  <si>
    <t>14A(12b)(ii)</t>
  </si>
  <si>
    <t>14A(12b)(iii)</t>
  </si>
  <si>
    <t>14A(12b)(iv)</t>
  </si>
  <si>
    <t>14A(12b)(v)</t>
  </si>
  <si>
    <t>14A(12b)(vi)</t>
  </si>
  <si>
    <t>14A(13)</t>
  </si>
  <si>
    <t>14A(14)</t>
  </si>
  <si>
    <t>14A(14)(i)</t>
  </si>
  <si>
    <t>14A(14)(ii)</t>
  </si>
  <si>
    <t>14A(14)(iii)</t>
  </si>
  <si>
    <t>14A(14)(iv)</t>
  </si>
  <si>
    <t>14A(14)(ix)</t>
  </si>
  <si>
    <t>14A(14)(v)</t>
  </si>
  <si>
    <t>14A(14)(vi)</t>
  </si>
  <si>
    <t>14A(14)(vii)</t>
  </si>
  <si>
    <t>14A(14)(viii)</t>
  </si>
  <si>
    <t>14A(14)(x)</t>
  </si>
  <si>
    <t>14A(1a)</t>
  </si>
  <si>
    <t>14A(1b)</t>
  </si>
  <si>
    <t>14A(1b)(i)</t>
  </si>
  <si>
    <t>14A(1b)(ii)</t>
  </si>
  <si>
    <t>14A(1b)(iii)</t>
  </si>
  <si>
    <t>14A(1b)(iv)</t>
  </si>
  <si>
    <t>14A(1b)(v)</t>
  </si>
  <si>
    <t>14A(1b)(vi)</t>
  </si>
  <si>
    <t>14A(2a)</t>
  </si>
  <si>
    <t>14A(2b)</t>
  </si>
  <si>
    <t>14A(2b)(i)</t>
  </si>
  <si>
    <t>14A(2b)(ii)</t>
  </si>
  <si>
    <t>14A(2b)(iii)</t>
  </si>
  <si>
    <t>14A(2b)(iv)</t>
  </si>
  <si>
    <t>14A(2b)(v)</t>
  </si>
  <si>
    <t>14A(3a)</t>
  </si>
  <si>
    <t>14A(3b)</t>
  </si>
  <si>
    <t>14A(3b)(i)</t>
  </si>
  <si>
    <t>14A(3b)(ii)</t>
  </si>
  <si>
    <t>14A(3b)(iii)</t>
  </si>
  <si>
    <t>14A(3b)(iv)</t>
  </si>
  <si>
    <t>14A(3b)(v)</t>
  </si>
  <si>
    <t>14A(3b)(vi)</t>
  </si>
  <si>
    <t>14A(4a)</t>
  </si>
  <si>
    <t>14A(4b)</t>
  </si>
  <si>
    <t>14A(4b)(i)</t>
  </si>
  <si>
    <t>14A(4b)(ii)</t>
  </si>
  <si>
    <t>14A(4b)(iii)</t>
  </si>
  <si>
    <t>14A(4b)(iv)</t>
  </si>
  <si>
    <t>14A(4b)(v)</t>
  </si>
  <si>
    <t>14A(5)</t>
  </si>
  <si>
    <t>14A(6a)</t>
  </si>
  <si>
    <t>14A(6b)</t>
  </si>
  <si>
    <t>14A(6b)(i)</t>
  </si>
  <si>
    <t>14A(6b)(ii)</t>
  </si>
  <si>
    <t>14A(6b)(iii)</t>
  </si>
  <si>
    <t>14A(6b)(iv)</t>
  </si>
  <si>
    <t>14A(6c)</t>
  </si>
  <si>
    <t>14A(6c)(i)</t>
  </si>
  <si>
    <t>14A(6c)(ii)</t>
  </si>
  <si>
    <t>14A(6c)(iii)</t>
  </si>
  <si>
    <t>14A(6c)(iv)</t>
  </si>
  <si>
    <t>14A(6c)(v)</t>
  </si>
  <si>
    <t>14A(6c)(vi)</t>
  </si>
  <si>
    <t>14A(7a)</t>
  </si>
  <si>
    <t>14A(7b)</t>
  </si>
  <si>
    <t>14A(7b)(i)</t>
  </si>
  <si>
    <t>14A(7b)(ii)</t>
  </si>
  <si>
    <t>14A(7b)(iii)</t>
  </si>
  <si>
    <t>14A(7b)(iv)</t>
  </si>
  <si>
    <t>14A(7b)(ix)</t>
  </si>
  <si>
    <t>14A(7b)(v)</t>
  </si>
  <si>
    <t>14A(7b)(vi)</t>
  </si>
  <si>
    <t>14A(7b)(vii)</t>
  </si>
  <si>
    <t>14A(7b)(viii)</t>
  </si>
  <si>
    <t>14A(7b)(x)</t>
  </si>
  <si>
    <t>14A(7b)(xi)</t>
  </si>
  <si>
    <t>14A(8)</t>
  </si>
  <si>
    <t>14A(8)(i)</t>
  </si>
  <si>
    <t>14A(8)(ii)</t>
  </si>
  <si>
    <t>14A(8)(iii)</t>
  </si>
  <si>
    <t>14A(8)(iv)</t>
  </si>
  <si>
    <t>14A(8)(v)</t>
  </si>
  <si>
    <t>14A(8)(vi)</t>
  </si>
  <si>
    <t>14A(8)(vii)</t>
  </si>
  <si>
    <t>14A(8)(viii)</t>
  </si>
  <si>
    <t>14A(9)</t>
  </si>
  <si>
    <t>15</t>
  </si>
  <si>
    <t>15(a)</t>
  </si>
  <si>
    <t>15(b)</t>
  </si>
  <si>
    <t>15(c.)</t>
  </si>
  <si>
    <t>15(i)</t>
  </si>
  <si>
    <t>15(ii)</t>
  </si>
  <si>
    <t>15(iii)</t>
  </si>
  <si>
    <t>15(iv)</t>
  </si>
  <si>
    <t>15(ix)</t>
  </si>
  <si>
    <t>15(v)</t>
  </si>
  <si>
    <t>15(vi)</t>
  </si>
  <si>
    <t>15(vii)</t>
  </si>
  <si>
    <t>15(viii)</t>
  </si>
  <si>
    <t>15(x)</t>
  </si>
  <si>
    <t>15(xi)</t>
  </si>
  <si>
    <t>15(xii)</t>
  </si>
  <si>
    <t>15(xiii)</t>
  </si>
  <si>
    <t>15(xiv)</t>
  </si>
  <si>
    <t>15(xv)</t>
  </si>
  <si>
    <t>15(xvi)</t>
  </si>
  <si>
    <t>150</t>
  </si>
  <si>
    <t>150(a)</t>
  </si>
  <si>
    <t>150(b)</t>
  </si>
  <si>
    <t>151(a)</t>
  </si>
  <si>
    <t>151(b)</t>
  </si>
  <si>
    <t>152</t>
  </si>
  <si>
    <t>153</t>
  </si>
  <si>
    <t>154</t>
  </si>
  <si>
    <t>155</t>
  </si>
  <si>
    <t>156</t>
  </si>
  <si>
    <t>159</t>
  </si>
  <si>
    <t>15A(i)</t>
  </si>
  <si>
    <t>15A(ii)</t>
  </si>
  <si>
    <t>15A(iii)</t>
  </si>
  <si>
    <t>15A(iv)</t>
  </si>
  <si>
    <t>16</t>
  </si>
  <si>
    <t>160</t>
  </si>
  <si>
    <t>163</t>
  </si>
  <si>
    <t>164</t>
  </si>
  <si>
    <t>165</t>
  </si>
  <si>
    <t>166</t>
  </si>
  <si>
    <t>167</t>
  </si>
  <si>
    <t>168</t>
  </si>
  <si>
    <t>169</t>
  </si>
  <si>
    <t>17</t>
  </si>
  <si>
    <t>170</t>
  </si>
  <si>
    <t>171</t>
  </si>
  <si>
    <t>172</t>
  </si>
  <si>
    <t>173</t>
  </si>
  <si>
    <t>174</t>
  </si>
  <si>
    <t>175</t>
  </si>
  <si>
    <t>176</t>
  </si>
  <si>
    <t>176(i)</t>
  </si>
  <si>
    <t>176(ii)</t>
  </si>
  <si>
    <t>176(iii)</t>
  </si>
  <si>
    <t>176(iv)</t>
  </si>
  <si>
    <t>177</t>
  </si>
  <si>
    <t>178</t>
  </si>
  <si>
    <t>179</t>
  </si>
  <si>
    <t>18</t>
  </si>
  <si>
    <t>18(i)</t>
  </si>
  <si>
    <t>18(ii)</t>
  </si>
  <si>
    <t>18(iii)</t>
  </si>
  <si>
    <t>18(iv)</t>
  </si>
  <si>
    <t>18(ix)</t>
  </si>
  <si>
    <t>18(v)</t>
  </si>
  <si>
    <t>18(vi)</t>
  </si>
  <si>
    <t>18(vii)</t>
  </si>
  <si>
    <t>18(viii)</t>
  </si>
  <si>
    <t>18(x)</t>
  </si>
  <si>
    <t>18(xi)</t>
  </si>
  <si>
    <t>18(xii)</t>
  </si>
  <si>
    <t>18(xiii)</t>
  </si>
  <si>
    <t>18(xiv)</t>
  </si>
  <si>
    <t>18(xix)</t>
  </si>
  <si>
    <t>18(xv)</t>
  </si>
  <si>
    <t>18(xvi)</t>
  </si>
  <si>
    <t>18(xvii)</t>
  </si>
  <si>
    <t>18(xviii)</t>
  </si>
  <si>
    <t>18(xx)</t>
  </si>
  <si>
    <t>18(xxi)</t>
  </si>
  <si>
    <t>180</t>
  </si>
  <si>
    <t>181</t>
  </si>
  <si>
    <t>181A</t>
  </si>
  <si>
    <t>182</t>
  </si>
  <si>
    <t>183</t>
  </si>
  <si>
    <t>184</t>
  </si>
  <si>
    <t>185</t>
  </si>
  <si>
    <t>19</t>
  </si>
  <si>
    <t>2</t>
  </si>
  <si>
    <t>2(a)</t>
  </si>
  <si>
    <t>2(b)</t>
  </si>
  <si>
    <t>2(i)</t>
  </si>
  <si>
    <t>2(ii)</t>
  </si>
  <si>
    <t>2(ii)(a)</t>
  </si>
  <si>
    <t>2(ii)(b)</t>
  </si>
  <si>
    <t>2(iii)</t>
  </si>
  <si>
    <t>20</t>
  </si>
  <si>
    <t>21</t>
  </si>
  <si>
    <t>22</t>
  </si>
  <si>
    <t>23</t>
  </si>
  <si>
    <t>24</t>
  </si>
  <si>
    <t>25</t>
  </si>
  <si>
    <t>26</t>
  </si>
  <si>
    <t>26(i)</t>
  </si>
  <si>
    <t>26(ii)</t>
  </si>
  <si>
    <t>26(iii)</t>
  </si>
  <si>
    <t>26(iv)</t>
  </si>
  <si>
    <t>26(ix)</t>
  </si>
  <si>
    <t>26(v)</t>
  </si>
  <si>
    <t>26(vi)</t>
  </si>
  <si>
    <t>26(vii)</t>
  </si>
  <si>
    <t>26(viii)</t>
  </si>
  <si>
    <t>26(x)</t>
  </si>
  <si>
    <t>26(xi)</t>
  </si>
  <si>
    <t>26(xii)</t>
  </si>
  <si>
    <t>26(xiii)</t>
  </si>
  <si>
    <t>26(xiv)</t>
  </si>
  <si>
    <t>26(xix)</t>
  </si>
  <si>
    <t>26(xv)</t>
  </si>
  <si>
    <t>26(xvi)</t>
  </si>
  <si>
    <t>26(xvii)</t>
  </si>
  <si>
    <t>26(xviii)</t>
  </si>
  <si>
    <t>27</t>
  </si>
  <si>
    <t>27(i)</t>
  </si>
  <si>
    <t>27(ii)</t>
  </si>
  <si>
    <t>27(iii)</t>
  </si>
  <si>
    <t>27(iv)</t>
  </si>
  <si>
    <t>27(v)</t>
  </si>
  <si>
    <t>27(vi)</t>
  </si>
  <si>
    <t>27(vii)</t>
  </si>
  <si>
    <t>27A</t>
  </si>
  <si>
    <t>28</t>
  </si>
  <si>
    <t>28(i)</t>
  </si>
  <si>
    <t>28(ii)</t>
  </si>
  <si>
    <t>28(iii)</t>
  </si>
  <si>
    <t>28(iv)</t>
  </si>
  <si>
    <t>28(v)</t>
  </si>
  <si>
    <t>28(vi)</t>
  </si>
  <si>
    <t>29</t>
  </si>
  <si>
    <t>29(i)</t>
  </si>
  <si>
    <t>29(ii)</t>
  </si>
  <si>
    <t>29(iii)</t>
  </si>
  <si>
    <t>29(iv)</t>
  </si>
  <si>
    <t>29(ix)</t>
  </si>
  <si>
    <t>29(v)</t>
  </si>
  <si>
    <t>29(vi)</t>
  </si>
  <si>
    <t>29(vii)</t>
  </si>
  <si>
    <t>29(viii)</t>
  </si>
  <si>
    <t>29(x)</t>
  </si>
  <si>
    <t>29(xi)</t>
  </si>
  <si>
    <t>29(xii)</t>
  </si>
  <si>
    <t>29(xiii)</t>
  </si>
  <si>
    <t>29(xiv)</t>
  </si>
  <si>
    <t>29(xv)</t>
  </si>
  <si>
    <t>29(xvi)</t>
  </si>
  <si>
    <t>29(xvii)</t>
  </si>
  <si>
    <t>29(xviii)</t>
  </si>
  <si>
    <t>29C</t>
  </si>
  <si>
    <t>2A</t>
  </si>
  <si>
    <t>2A(i)</t>
  </si>
  <si>
    <t>2A(ii)</t>
  </si>
  <si>
    <t>2A(iii)</t>
  </si>
  <si>
    <t>2A(iv)</t>
  </si>
  <si>
    <t>2A(ix)</t>
  </si>
  <si>
    <t>2A(v)</t>
  </si>
  <si>
    <t>2A(vi)</t>
  </si>
  <si>
    <t>2A(vii)</t>
  </si>
  <si>
    <t>2A(viii)</t>
  </si>
  <si>
    <t>2B</t>
  </si>
  <si>
    <t>2B(i)</t>
  </si>
  <si>
    <t>2B(ii)</t>
  </si>
  <si>
    <t>2B(iii)</t>
  </si>
  <si>
    <t>2C</t>
  </si>
  <si>
    <t>2C(i)</t>
  </si>
  <si>
    <t>2C(ii)</t>
  </si>
  <si>
    <t>2D</t>
  </si>
  <si>
    <t>2D(i)</t>
  </si>
  <si>
    <t>2D(ii)</t>
  </si>
  <si>
    <t>2E</t>
  </si>
  <si>
    <t>2F</t>
  </si>
  <si>
    <t>3</t>
  </si>
  <si>
    <t>3(1A)</t>
  </si>
  <si>
    <t>3(i)</t>
  </si>
  <si>
    <t>3(ii)</t>
  </si>
  <si>
    <t>30</t>
  </si>
  <si>
    <t>30(i)</t>
  </si>
  <si>
    <t>30(ii)</t>
  </si>
  <si>
    <t>31</t>
  </si>
  <si>
    <t>32</t>
  </si>
  <si>
    <t>33</t>
  </si>
  <si>
    <t>34</t>
  </si>
  <si>
    <t>34(1)</t>
  </si>
  <si>
    <t>34(2)</t>
  </si>
  <si>
    <t>34(3)</t>
  </si>
  <si>
    <t>34(4)</t>
  </si>
  <si>
    <t>35</t>
  </si>
  <si>
    <t>36</t>
  </si>
  <si>
    <t>37</t>
  </si>
  <si>
    <t>38</t>
  </si>
  <si>
    <t>39</t>
  </si>
  <si>
    <t>4</t>
  </si>
  <si>
    <t>4(1)</t>
  </si>
  <si>
    <t>4(2)</t>
  </si>
  <si>
    <t>40</t>
  </si>
  <si>
    <t>41</t>
  </si>
  <si>
    <t>42</t>
  </si>
  <si>
    <t>43</t>
  </si>
  <si>
    <t>44</t>
  </si>
  <si>
    <t>45</t>
  </si>
  <si>
    <t>45(i)</t>
  </si>
  <si>
    <t>45(ii)</t>
  </si>
  <si>
    <t>45(iii)</t>
  </si>
  <si>
    <t>45(iv)</t>
  </si>
  <si>
    <t>45v</t>
  </si>
  <si>
    <t>45vi</t>
  </si>
  <si>
    <t>46</t>
  </si>
  <si>
    <t>47</t>
  </si>
  <si>
    <t>48</t>
  </si>
  <si>
    <t>49</t>
  </si>
  <si>
    <t>5</t>
  </si>
  <si>
    <t>5(i)</t>
  </si>
  <si>
    <t>5(ii)</t>
  </si>
  <si>
    <t>50</t>
  </si>
  <si>
    <t>51</t>
  </si>
  <si>
    <t>52</t>
  </si>
  <si>
    <t>52A</t>
  </si>
  <si>
    <t>53</t>
  </si>
  <si>
    <t>53(i)</t>
  </si>
  <si>
    <t>53(ii)</t>
  </si>
  <si>
    <t>53(iii)</t>
  </si>
  <si>
    <t>53(iv)</t>
  </si>
  <si>
    <t>53(ix)</t>
  </si>
  <si>
    <t>53(v)</t>
  </si>
  <si>
    <t>53(vi)</t>
  </si>
  <si>
    <t>53(vii)</t>
  </si>
  <si>
    <t>53(viii)</t>
  </si>
  <si>
    <t>53(x)</t>
  </si>
  <si>
    <t>53(xi)</t>
  </si>
  <si>
    <t>53(xii)</t>
  </si>
  <si>
    <t>53(xiii)</t>
  </si>
  <si>
    <t>53(xiv)</t>
  </si>
  <si>
    <t>53(xix)</t>
  </si>
  <si>
    <t>53(xv)</t>
  </si>
  <si>
    <t>53(xvi)</t>
  </si>
  <si>
    <t>53(xvii)</t>
  </si>
  <si>
    <t>53(xviii)</t>
  </si>
  <si>
    <t>54</t>
  </si>
  <si>
    <t>55</t>
  </si>
  <si>
    <t>56</t>
  </si>
  <si>
    <t>56(i)</t>
  </si>
  <si>
    <t>56(ii)</t>
  </si>
  <si>
    <t>57</t>
  </si>
  <si>
    <t>58</t>
  </si>
  <si>
    <t>59</t>
  </si>
  <si>
    <t>6</t>
  </si>
  <si>
    <t>6(A)</t>
  </si>
  <si>
    <t>6(A)(i)</t>
  </si>
  <si>
    <t>6(A)(ii)</t>
  </si>
  <si>
    <t>6(A)(iii)</t>
  </si>
  <si>
    <t>6(A)(iv)</t>
  </si>
  <si>
    <t>6(A)(ix)</t>
  </si>
  <si>
    <t>6(A)(v)</t>
  </si>
  <si>
    <t>6(A)(vi)</t>
  </si>
  <si>
    <t>6(A)(vii)</t>
  </si>
  <si>
    <t>6(A)(viii)</t>
  </si>
  <si>
    <t>6(A)(x)</t>
  </si>
  <si>
    <t>6(i)</t>
  </si>
  <si>
    <t>6(ii)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</si>
  <si>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</si>
  <si>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</si>
  <si>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</si>
  <si>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</si>
  <si>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</si>
  <si>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</si>
  <si>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</si>
  <si>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</si>
  <si>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</si>
  <si>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</si>
  <si>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</t>
  </si>
  <si>
    <t>7(i)</t>
  </si>
  <si>
    <t>7(ii)</t>
  </si>
  <si>
    <t>70</t>
  </si>
  <si>
    <t>70(i)</t>
  </si>
  <si>
    <t>70(ii)</t>
  </si>
  <si>
    <t>70(iii)</t>
  </si>
  <si>
    <t>70(iv)</t>
  </si>
  <si>
    <t>70(v)</t>
  </si>
  <si>
    <t>70(vi)</t>
  </si>
  <si>
    <t>71</t>
  </si>
  <si>
    <t>72</t>
  </si>
  <si>
    <t>73</t>
  </si>
  <si>
    <t>73(a)</t>
  </si>
  <si>
    <t>73(b)</t>
  </si>
  <si>
    <t>73A</t>
  </si>
  <si>
    <t>74</t>
  </si>
  <si>
    <t>75</t>
  </si>
  <si>
    <t>76</t>
  </si>
  <si>
    <t>77</t>
  </si>
  <si>
    <t>78</t>
  </si>
  <si>
    <t>79</t>
  </si>
  <si>
    <t>8</t>
  </si>
  <si>
    <t>8(1)</t>
  </si>
  <si>
    <t>8(2)</t>
  </si>
  <si>
    <t>8(3)</t>
  </si>
  <si>
    <t>8(4)</t>
  </si>
  <si>
    <t>8(5)</t>
  </si>
  <si>
    <t>8(i)</t>
  </si>
  <si>
    <t>8(i)(a)</t>
  </si>
  <si>
    <t>8(i)(b)</t>
  </si>
  <si>
    <t>8(i)(c)</t>
  </si>
  <si>
    <t>8(ii)</t>
  </si>
  <si>
    <t>80</t>
  </si>
  <si>
    <t>81</t>
  </si>
  <si>
    <t>82</t>
  </si>
  <si>
    <t>83</t>
  </si>
  <si>
    <t>84</t>
  </si>
  <si>
    <t>84(i)</t>
  </si>
  <si>
    <t>84(ii)</t>
  </si>
  <si>
    <t>84(iii)</t>
  </si>
  <si>
    <t>84(iv)</t>
  </si>
  <si>
    <t>84(v)</t>
  </si>
  <si>
    <t>84(vi)</t>
  </si>
  <si>
    <t>84(vii)</t>
  </si>
  <si>
    <t>85</t>
  </si>
  <si>
    <t>86</t>
  </si>
  <si>
    <t>87</t>
  </si>
  <si>
    <t>88</t>
  </si>
  <si>
    <t>89</t>
  </si>
  <si>
    <t>8A</t>
  </si>
  <si>
    <t>9</t>
  </si>
  <si>
    <t>9(i)</t>
  </si>
  <si>
    <t>9(ii)</t>
  </si>
  <si>
    <t>9(iii)</t>
  </si>
  <si>
    <t>9(iv)</t>
  </si>
  <si>
    <t>9(ix)</t>
  </si>
  <si>
    <t>9(v)</t>
  </si>
  <si>
    <t>9(vi)</t>
  </si>
  <si>
    <t>9(vii)</t>
  </si>
  <si>
    <t>9(viii)</t>
  </si>
  <si>
    <t>9(x)</t>
  </si>
  <si>
    <t>9(xi)</t>
  </si>
  <si>
    <t>9(xii)</t>
  </si>
  <si>
    <t>9(xiii)</t>
  </si>
  <si>
    <t>9(xiv)</t>
  </si>
  <si>
    <t>9(xix)</t>
  </si>
  <si>
    <t>9(xv)</t>
  </si>
  <si>
    <t>9(xvi)</t>
  </si>
  <si>
    <t>9(xvii)</t>
  </si>
  <si>
    <t>9(xviii)</t>
  </si>
  <si>
    <t>9(xx)</t>
  </si>
  <si>
    <t>9(xxi)</t>
  </si>
  <si>
    <t>9(xxii)</t>
  </si>
  <si>
    <t>9(xxiii)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</si>
  <si>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</si>
  <si>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</si>
  <si>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</si>
  <si>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</si>
  <si>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</si>
  <si>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</si>
  <si>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</si>
  <si>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</si>
  <si>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</si>
  <si>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</si>
  <si>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Region-I</t>
  </si>
  <si>
    <t>Region-II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</si>
</sst>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4" x14ac:knownFonts="1">
    <font>
      <color theme="1"/>
      <family val="2"/>
      <scheme val="minor"/>
      <sz val="11"/>
      <name val="Calibri"/>
    </font>
    <font>
      <b/>
    </font>
    <font>
      <b/>
      <color rgb="FF0000FF"/>
    </font>
    <font>
      <color rgb="FF0000F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 applyAlignment="1">
      <alignment horizontal="left"/>
    </xf>
    <xf numFmtId="9" fontId="0" fillId="0" borderId="0" xfId="0" applyNumberFormat="1" applyAlignment="1">
      <alignment horizontal="center"/>
    </xf>
    <xf numFmtId="2" fontId="0" fillId="0" borderId="0" xfId="0" applyNumberFormat="1" applyAlignment="1">
      <alignment horizontal="right"/>
    </xf>
    <xf numFmtId="0" fontId="1" fillId="0" borderId="0" xfId="0" applyFont="1"/>
    <xf numFmtId="49" fontId="1" fillId="0" borderId="0" xfId="0" applyNumberFormat="1" applyFont="1" applyAlignment="1">
      <alignment horizontal="left"/>
    </xf>
    <xf numFmtId="9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right"/>
    </xf>
    <xf numFmtId="2" fontId="0" fillId="0" borderId="0" xfId="0" applyNumberFormat="1"/>
    <xf numFmtId="164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7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9" style="1" customWidth="1"/>
    <col min="4" max="4" width="24" style="1" customWidth="1"/>
    <col min="5" max="9" width="14" customWidth="1"/>
    <col min="10" max="10" width="16" customWidth="1"/>
    <col min="11" max="11" width="22" customWidth="1"/>
    <col min="12" max="12" width="15" customWidth="1"/>
    <col min="13" max="16" width="14" customWidth="1"/>
    <col min="17" max="17" width="16" style="1" customWidth="1"/>
    <col min="18" max="18" width="18" style="1" customWidth="1"/>
    <col min="19" max="19" width="14" style="1" customWidth="1"/>
    <col min="20" max="20" width="17" style="1" customWidth="1"/>
    <col min="21" max="22" width="14" style="1" customWidth="1"/>
    <col min="23" max="23" width="31" style="1" customWidth="1"/>
    <col min="24" max="24" width="36" style="1" customWidth="1"/>
    <col min="25" max="25" width="14" customWidth="1"/>
    <col min="26" max="26" width="16" customWidth="1"/>
    <col min="27" max="27" width="23" customWidth="1"/>
    <col min="28" max="28" width="24" customWidth="1"/>
    <col min="29" max="29" width="27" customWidth="1"/>
    <col min="30" max="31" width="14" customWidth="1"/>
    <col min="32" max="32" width="17" customWidth="1"/>
    <col min="33" max="33" width="14" style="2" customWidth="1"/>
    <col min="34" max="35" width="20" style="3" customWidth="1"/>
    <col min="36" max="36" width="14" customWidth="1"/>
    <col min="37" max="37" width="22" customWidth="1"/>
    <col min="38" max="38" width="23" customWidth="1"/>
    <col min="39" max="41" width="14" customWidth="1"/>
    <col min="42" max="42" width="20" customWidth="1"/>
    <col min="43" max="44" width="14" customWidth="1"/>
    <col min="45" max="45" width="9" hidden="1" customWidth="1"/>
    <col min="46" max="46" width="9" hidden="1" customWidth="1"/>
    <col min="47" max="47" width="9" hidden="1" customWidth="1"/>
    <col min="48" max="48" width="9" hidden="1" customWidth="1"/>
    <col min="49" max="49" width="9" hidden="1" customWidth="1"/>
    <col min="50" max="50" width="9" hidden="1" customWidth="1"/>
    <col min="51" max="51" width="9" hidden="1" customWidth="1"/>
  </cols>
  <sheetData>
    <row r="1" spans="1:44" s="4" customFormat="1" x14ac:dyDescent="0.25">
      <c r="A1" s="4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6" t="s">
        <v>32</v>
      </c>
      <c r="AH1" s="7" t="s">
        <v>33</v>
      </c>
      <c r="AI1" s="7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</row>
    <row r="2" spans="1:51" x14ac:dyDescent="0.25">
      <c r="R2" s="1"/>
      <c r="S2" s="1"/>
      <c r="T2" s="1"/>
      <c r="U2" s="1"/>
      <c r="V2" s="1">
        <f>IF($R2="","",TRIM(MID($R2,FIND(" - ",$R2)+3,LEN($R2))))</f>
      </c>
      <c r="W2" s="1"/>
      <c r="AC2" s="8" t="str">
        <f>IF(AND(Z2&lt;&gt;"",AB2&lt;&gt;""),Z2*AB2,"")</f>
        <v/>
      </c>
      <c r="AG2" s="2"/>
      <c r="AH2" s="3" t="str">
        <f>IF(AG2=18%,ROUND((AA2+AK2)*0.18,2),"")</f>
        <v/>
      </c>
      <c r="AI2" s="3" t="str">
        <f>IF(AG2=25%,ROUND((AA2+AK2)*0.25,2),"")</f>
        <v/>
      </c>
      <c r="AJ2" s="9">
        <f>IF(OR($AA2="",$AB2=""),"",IFERROR($AA2/$AB2,0))</f>
      </c>
      <c r="AK2">
        <f>IF($AA2="","",
IF($S2="","",
IF(ISNUMBER(SEARCH("exempt",LOWER($S2))),0,
$AA2*(VALUE(SUBSTITUTE($S2,"%",""))/100))))</f>
      </c>
      <c r="AR2">
        <f>IF($AA2="","",
SUM($AA2,$AK2,$AO2,$AL2,$AN2,$AM2,$AP2)-
IF($AQ2="",0,VALUE($AQ2)))</f>
      </c>
      <c r="AS2" t="s">
        <v>44</v>
      </c>
      <c r="AT2" t="s">
        <v>45</v>
      </c>
      <c r="AU2" t="s">
        <v>46</v>
      </c>
      <c r="AV2" t="s">
        <v>47</v>
      </c>
      <c r="AW2" t="s">
        <v>48</v>
      </c>
      <c r="AX2" t="s">
        <v>49</v>
      </c>
      <c r="AY2" t="s">
        <v>49</v>
      </c>
    </row>
    <row r="3" spans="1:51" x14ac:dyDescent="0.25">
      <c r="R3" s="1"/>
      <c r="S3" s="1"/>
      <c r="T3" s="1"/>
      <c r="U3" s="1"/>
      <c r="V3" s="1">
        <f>IF($R3="","",TRIM(MID($R3,FIND(" - ",$R3)+3,LEN($R3))))</f>
      </c>
      <c r="W3" s="1"/>
      <c r="AC3" s="8" t="str">
        <f>IF(AND(Z3&lt;&gt;"",AB3&lt;&gt;""),Z3*AB3,"")</f>
        <v/>
      </c>
      <c r="AG3" s="2"/>
      <c r="AH3" s="3" t="str">
        <f>IF(AG3=18%,ROUND((AA3+AK3)*0.18,2),"")</f>
        <v/>
      </c>
      <c r="AI3" s="3" t="str">
        <f>IF(AG3=25%,ROUND((AA3+AK3)*0.25,2),"")</f>
        <v/>
      </c>
      <c r="AJ3" s="9">
        <f>IF(OR($AA3="",$AB3=""),"",IFERROR($AA3/$AB3,0))</f>
      </c>
      <c r="AK3">
        <f>IF($AA3="","",
IF($S3="","",
IF(ISNUMBER(SEARCH("exempt",LOWER($S3))),0,
$AA3*(VALUE(SUBSTITUTE($S3,"%",""))/100))))</f>
      </c>
      <c r="AR3">
        <f>IF($AA3="","",
SUM($AA3,$AK3,$AO3,$AL3,$AN3,$AM3,$AP3)-
IF($AQ3="",0,VALUE($AQ3)))</f>
      </c>
      <c r="AS3" t="s">
        <v>50</v>
      </c>
      <c r="AT3" t="s">
        <v>51</v>
      </c>
      <c r="AU3" t="s">
        <v>52</v>
      </c>
      <c r="AV3" t="s">
        <v>53</v>
      </c>
      <c r="AW3" t="s">
        <v>54</v>
      </c>
      <c r="AX3" t="s">
        <v>55</v>
      </c>
      <c r="AY3" t="s">
        <v>56</v>
      </c>
    </row>
    <row r="4" spans="1:51" x14ac:dyDescent="0.25">
      <c r="R4" s="1"/>
      <c r="S4" s="1"/>
      <c r="T4" s="1"/>
      <c r="U4" s="1"/>
      <c r="V4" s="1">
        <f>IF($R4="","",TRIM(MID($R4,FIND(" - ",$R4)+3,LEN($R4))))</f>
      </c>
      <c r="W4" s="1"/>
      <c r="AC4" s="8" t="str">
        <f>IF(AND(Z4&lt;&gt;"",AB4&lt;&gt;""),Z4*AB4,"")</f>
        <v/>
      </c>
      <c r="AG4" s="2"/>
      <c r="AH4" s="3" t="str">
        <f>IF(AG4=18%,ROUND((AA4+AK4)*0.18,2),"")</f>
        <v/>
      </c>
      <c r="AI4" s="3" t="str">
        <f>IF(AG4=25%,ROUND((AA4+AK4)*0.25,2),"")</f>
        <v/>
      </c>
      <c r="AJ4" s="9">
        <f>IF(OR($AA4="",$AB4=""),"",IFERROR($AA4/$AB4,0))</f>
      </c>
      <c r="AK4">
        <f>IF($AA4="","",
IF($S4="","",
IF(ISNUMBER(SEARCH("exempt",LOWER($S4))),0,
$AA4*(VALUE(SUBSTITUTE($S4,"%",""))/100))))</f>
      </c>
      <c r="AR4">
        <f>IF($AA4="","",
SUM($AA4,$AK4,$AO4,$AL4,$AN4,$AM4,$AP4)-
IF($AQ4="",0,VALUE($AQ4)))</f>
      </c>
      <c r="AT4" t="s">
        <v>57</v>
      </c>
      <c r="AU4" t="s">
        <v>58</v>
      </c>
      <c r="AV4" t="s">
        <v>59</v>
      </c>
      <c r="AW4" t="s">
        <v>60</v>
      </c>
      <c r="AX4" t="s">
        <v>61</v>
      </c>
      <c r="AY4" t="s">
        <v>62</v>
      </c>
    </row>
    <row r="5" spans="1:51" x14ac:dyDescent="0.25">
      <c r="R5" s="1"/>
      <c r="S5" s="1"/>
      <c r="T5" s="1"/>
      <c r="U5" s="1"/>
      <c r="V5" s="1">
        <f>IF($R5="","",TRIM(MID($R5,FIND(" - ",$R5)+3,LEN($R5))))</f>
      </c>
      <c r="W5" s="1"/>
      <c r="AC5" s="8" t="str">
        <f>IF(AND(Z5&lt;&gt;"",AB5&lt;&gt;""),Z5*AB5,"")</f>
        <v/>
      </c>
      <c r="AG5" s="2"/>
      <c r="AH5" s="3" t="str">
        <f>IF(AG5=18%,ROUND((AA5+AK5)*0.18,2),"")</f>
        <v/>
      </c>
      <c r="AI5" s="3" t="str">
        <f>IF(AG5=25%,ROUND((AA5+AK5)*0.25,2),"")</f>
        <v/>
      </c>
      <c r="AJ5" s="9">
        <f>IF(OR($AA5="",$AB5=""),"",IFERROR($AA5/$AB5,0))</f>
      </c>
      <c r="AK5">
        <f>IF($AA5="","",
IF($S5="","",
IF(ISNUMBER(SEARCH("exempt",LOWER($S5))),0,
$AA5*(VALUE(SUBSTITUTE($S5,"%",""))/100))))</f>
      </c>
      <c r="AR5">
        <f>IF($AA5="","",
SUM($AA5,$AK5,$AO5,$AL5,$AN5,$AM5,$AP5)-
IF($AQ5="",0,VALUE($AQ5)))</f>
      </c>
      <c r="AT5" t="s">
        <v>63</v>
      </c>
      <c r="AU5" t="s">
        <v>64</v>
      </c>
      <c r="AV5" t="s">
        <v>65</v>
      </c>
      <c r="AW5" t="s">
        <v>66</v>
      </c>
      <c r="AX5" t="s">
        <v>67</v>
      </c>
      <c r="AY5" t="s">
        <v>68</v>
      </c>
    </row>
    <row r="6" spans="1:51" x14ac:dyDescent="0.25">
      <c r="R6" s="1"/>
      <c r="S6" s="1"/>
      <c r="T6" s="1"/>
      <c r="U6" s="1"/>
      <c r="V6" s="1">
        <f>IF($R6="","",TRIM(MID($R6,FIND(" - ",$R6)+3,LEN($R6))))</f>
      </c>
      <c r="W6" s="1"/>
      <c r="AC6" s="8" t="str">
        <f>IF(AND(Z6&lt;&gt;"",AB6&lt;&gt;""),Z6*AB6,"")</f>
        <v/>
      </c>
      <c r="AG6" s="2"/>
      <c r="AH6" s="3" t="str">
        <f>IF(AG6=18%,ROUND((AA6+AK6)*0.18,2),"")</f>
        <v/>
      </c>
      <c r="AI6" s="3" t="str">
        <f>IF(AG6=25%,ROUND((AA6+AK6)*0.25,2),"")</f>
        <v/>
      </c>
      <c r="AJ6" s="9">
        <f>IF(OR($AA6="",$AB6=""),"",IFERROR($AA6/$AB6,0))</f>
      </c>
      <c r="AK6">
        <f>IF($AA6="","",
IF($S6="","",
IF(ISNUMBER(SEARCH("exempt",LOWER($S6))),0,
$AA6*(VALUE(SUBSTITUTE($S6,"%",""))/100))))</f>
      </c>
      <c r="AR6">
        <f>IF($AA6="","",
SUM($AA6,$AK6,$AO6,$AL6,$AN6,$AM6,$AP6)-
IF($AQ6="",0,VALUE($AQ6)))</f>
      </c>
      <c r="AT6" t="s">
        <v>69</v>
      </c>
      <c r="AU6" t="s">
        <v>70</v>
      </c>
      <c r="AV6" t="s">
        <v>71</v>
      </c>
      <c r="AW6" t="s">
        <v>72</v>
      </c>
      <c r="AX6" t="s">
        <v>73</v>
      </c>
      <c r="AY6" t="s">
        <v>74</v>
      </c>
    </row>
    <row r="7" spans="1:51" x14ac:dyDescent="0.25">
      <c r="R7" s="1"/>
      <c r="S7" s="1"/>
      <c r="T7" s="1"/>
      <c r="U7" s="1"/>
      <c r="V7" s="1">
        <f>IF($R7="","",TRIM(MID($R7,FIND(" - ",$R7)+3,LEN($R7))))</f>
      </c>
      <c r="W7" s="1"/>
      <c r="AC7" s="8" t="str">
        <f>IF(AND(Z7&lt;&gt;"",AB7&lt;&gt;""),Z7*AB7,"")</f>
        <v/>
      </c>
      <c r="AG7" s="2"/>
      <c r="AH7" s="3" t="str">
        <f>IF(AG7=18%,ROUND((AA7+AK7)*0.18,2),"")</f>
        <v/>
      </c>
      <c r="AI7" s="3" t="str">
        <f>IF(AG7=25%,ROUND((AA7+AK7)*0.25,2),"")</f>
        <v/>
      </c>
      <c r="AJ7" s="9">
        <f>IF(OR($AA7="",$AB7=""),"",IFERROR($AA7/$AB7,0))</f>
      </c>
      <c r="AK7">
        <f>IF($AA7="","",
IF($S7="","",
IF(ISNUMBER(SEARCH("exempt",LOWER($S7))),0,
$AA7*(VALUE(SUBSTITUTE($S7,"%",""))/100))))</f>
      </c>
      <c r="AR7">
        <f>IF($AA7="","",
SUM($AA7,$AK7,$AO7,$AL7,$AN7,$AM7,$AP7)-
IF($AQ7="",0,VALUE($AQ7)))</f>
      </c>
      <c r="AT7" t="s">
        <v>75</v>
      </c>
      <c r="AU7" t="s">
        <v>76</v>
      </c>
      <c r="AV7" t="s">
        <v>77</v>
      </c>
      <c r="AW7" t="s">
        <v>78</v>
      </c>
      <c r="AX7" t="s">
        <v>79</v>
      </c>
      <c r="AY7" t="s">
        <v>80</v>
      </c>
    </row>
    <row r="8" spans="1:51" x14ac:dyDescent="0.25">
      <c r="R8" s="1"/>
      <c r="S8" s="1"/>
      <c r="T8" s="1"/>
      <c r="U8" s="1"/>
      <c r="V8" s="1">
        <f>IF($R8="","",TRIM(MID($R8,FIND(" - ",$R8)+3,LEN($R8))))</f>
      </c>
      <c r="W8" s="1"/>
      <c r="AC8" s="8" t="str">
        <f>IF(AND(Z8&lt;&gt;"",AB8&lt;&gt;""),Z8*AB8,"")</f>
        <v/>
      </c>
      <c r="AG8" s="2"/>
      <c r="AH8" s="3" t="str">
        <f>IF(AG8=18%,ROUND((AA8+AK8)*0.18,2),"")</f>
        <v/>
      </c>
      <c r="AI8" s="3" t="str">
        <f>IF(AG8=25%,ROUND((AA8+AK8)*0.25,2),"")</f>
        <v/>
      </c>
      <c r="AJ8" s="9">
        <f>IF(OR($AA8="",$AB8=""),"",IFERROR($AA8/$AB8,0))</f>
      </c>
      <c r="AK8">
        <f>IF($AA8="","",
IF($S8="","",
IF(ISNUMBER(SEARCH("exempt",LOWER($S8))),0,
$AA8*(VALUE(SUBSTITUTE($S8,"%",""))/100))))</f>
      </c>
      <c r="AR8">
        <f>IF($AA8="","",
SUM($AA8,$AK8,$AO8,$AL8,$AN8,$AM8,$AP8)-
IF($AQ8="",0,VALUE($AQ8)))</f>
      </c>
      <c r="AT8" t="s">
        <v>81</v>
      </c>
      <c r="AU8" t="s">
        <v>82</v>
      </c>
      <c r="AV8" t="s">
        <v>83</v>
      </c>
      <c r="AW8" t="s">
        <v>84</v>
      </c>
      <c r="AX8" t="s">
        <v>85</v>
      </c>
      <c r="AY8" t="s">
        <v>86</v>
      </c>
    </row>
    <row r="9" spans="1:51" x14ac:dyDescent="0.25">
      <c r="R9" s="1"/>
      <c r="S9" s="1"/>
      <c r="T9" s="1"/>
      <c r="U9" s="1"/>
      <c r="V9" s="1">
        <f>IF($R9="","",TRIM(MID($R9,FIND(" - ",$R9)+3,LEN($R9))))</f>
      </c>
      <c r="W9" s="1"/>
      <c r="AC9" s="8" t="str">
        <f>IF(AND(Z9&lt;&gt;"",AB9&lt;&gt;""),Z9*AB9,"")</f>
        <v/>
      </c>
      <c r="AG9" s="2"/>
      <c r="AH9" s="3" t="str">
        <f>IF(AG9=18%,ROUND((AA9+AK9)*0.18,2),"")</f>
        <v/>
      </c>
      <c r="AI9" s="3" t="str">
        <f>IF(AG9=25%,ROUND((AA9+AK9)*0.25,2),"")</f>
        <v/>
      </c>
      <c r="AJ9" s="9">
        <f>IF(OR($AA9="",$AB9=""),"",IFERROR($AA9/$AB9,0))</f>
      </c>
      <c r="AK9">
        <f>IF($AA9="","",
IF($S9="","",
IF(ISNUMBER(SEARCH("exempt",LOWER($S9))),0,
$AA9*(VALUE(SUBSTITUTE($S9,"%",""))/100))))</f>
      </c>
      <c r="AR9">
        <f>IF($AA9="","",
SUM($AA9,$AK9,$AO9,$AL9,$AN9,$AM9,$AP9)-
IF($AQ9="",0,VALUE($AQ9)))</f>
      </c>
      <c r="AU9" t="s">
        <v>87</v>
      </c>
      <c r="AV9" t="s">
        <v>88</v>
      </c>
      <c r="AW9" t="s">
        <v>89</v>
      </c>
      <c r="AX9" t="s">
        <v>90</v>
      </c>
      <c r="AY9" t="s">
        <v>91</v>
      </c>
    </row>
    <row r="10" spans="1:51" x14ac:dyDescent="0.25">
      <c r="R10" s="1"/>
      <c r="S10" s="1"/>
      <c r="T10" s="1"/>
      <c r="U10" s="1"/>
      <c r="V10" s="1">
        <f>IF($R10="","",TRIM(MID($R10,FIND(" - ",$R10)+3,LEN($R10))))</f>
      </c>
      <c r="W10" s="1"/>
      <c r="AC10" s="8" t="str">
        <f>IF(AND(Z10&lt;&gt;"",AB10&lt;&gt;""),Z10*AB10,"")</f>
        <v/>
      </c>
      <c r="AG10" s="2"/>
      <c r="AH10" s="3" t="str">
        <f>IF(AG10=18%,ROUND((AA10+AK10)*0.18,2),"")</f>
        <v/>
      </c>
      <c r="AI10" s="3" t="str">
        <f>IF(AG10=25%,ROUND((AA10+AK10)*0.25,2),"")</f>
        <v/>
      </c>
      <c r="AJ10" s="9">
        <f>IF(OR($AA10="",$AB10=""),"",IFERROR($AA10/$AB10,0))</f>
      </c>
      <c r="AK10">
        <f>IF($AA10="","",
IF($S10="","",
IF(ISNUMBER(SEARCH("exempt",LOWER($S10))),0,
$AA10*(VALUE(SUBSTITUTE($S10,"%",""))/100))))</f>
      </c>
      <c r="AR10">
        <f>IF($AA10="","",
SUM($AA10,$AK10,$AO10,$AL10,$AN10,$AM10,$AP10)-
IF($AQ10="",0,VALUE($AQ10)))</f>
      </c>
      <c r="AU10" t="s">
        <v>92</v>
      </c>
      <c r="AV10" t="s">
        <v>93</v>
      </c>
      <c r="AW10" t="s">
        <v>94</v>
      </c>
      <c r="AX10" t="s">
        <v>95</v>
      </c>
      <c r="AY10" t="s">
        <v>96</v>
      </c>
    </row>
    <row r="11" spans="1:51" x14ac:dyDescent="0.25">
      <c r="R11" s="1"/>
      <c r="S11" s="1"/>
      <c r="T11" s="1"/>
      <c r="U11" s="1"/>
      <c r="V11" s="1">
        <f>IF($R11="","",TRIM(MID($R11,FIND(" - ",$R11)+3,LEN($R11))))</f>
      </c>
      <c r="W11" s="1"/>
      <c r="AC11" s="8" t="str">
        <f>IF(AND(Z11&lt;&gt;"",AB11&lt;&gt;""),Z11*AB11,"")</f>
        <v/>
      </c>
      <c r="AG11" s="2"/>
      <c r="AH11" s="3" t="str">
        <f>IF(AG11=18%,ROUND((AA11+AK11)*0.18,2),"")</f>
        <v/>
      </c>
      <c r="AI11" s="3" t="str">
        <f>IF(AG11=25%,ROUND((AA11+AK11)*0.25,2),"")</f>
        <v/>
      </c>
      <c r="AJ11" s="9">
        <f>IF(OR($AA11="",$AB11=""),"",IFERROR($AA11/$AB11,0))</f>
      </c>
      <c r="AK11">
        <f>IF($AA11="","",
IF($S11="","",
IF(ISNUMBER(SEARCH("exempt",LOWER($S11))),0,
$AA11*(VALUE(SUBSTITUTE($S11,"%",""))/100))))</f>
      </c>
      <c r="AR11">
        <f>IF($AA11="","",
SUM($AA11,$AK11,$AO11,$AL11,$AN11,$AM11,$AP11)-
IF($AQ11="",0,VALUE($AQ11)))</f>
      </c>
      <c r="AU11" t="s">
        <v>97</v>
      </c>
      <c r="AV11" t="s">
        <v>98</v>
      </c>
      <c r="AW11" t="s">
        <v>99</v>
      </c>
      <c r="AX11" t="s">
        <v>100</v>
      </c>
      <c r="AY11" t="s">
        <v>101</v>
      </c>
    </row>
    <row r="12" spans="1:51" x14ac:dyDescent="0.25">
      <c r="R12" s="1"/>
      <c r="S12" s="1"/>
      <c r="T12" s="1"/>
      <c r="U12" s="1"/>
      <c r="V12" s="1">
        <f>IF($R12="","",TRIM(MID($R12,FIND(" - ",$R12)+3,LEN($R12))))</f>
      </c>
      <c r="W12" s="1"/>
      <c r="AC12" s="8" t="str">
        <f>IF(AND(Z12&lt;&gt;"",AB12&lt;&gt;""),Z12*AB12,"")</f>
        <v/>
      </c>
      <c r="AG12" s="2"/>
      <c r="AH12" s="3" t="str">
        <f>IF(AG12=18%,ROUND((AA12+AK12)*0.18,2),"")</f>
        <v/>
      </c>
      <c r="AI12" s="3" t="str">
        <f>IF(AG12=25%,ROUND((AA12+AK12)*0.25,2),"")</f>
        <v/>
      </c>
      <c r="AJ12" s="9">
        <f>IF(OR($AA12="",$AB12=""),"",IFERROR($AA12/$AB12,0))</f>
      </c>
      <c r="AK12">
        <f>IF($AA12="","",
IF($S12="","",
IF(ISNUMBER(SEARCH("exempt",LOWER($S12))),0,
$AA12*(VALUE(SUBSTITUTE($S12,"%",""))/100))))</f>
      </c>
      <c r="AR12">
        <f>IF($AA12="","",
SUM($AA12,$AK12,$AO12,$AL12,$AN12,$AM12,$AP12)-
IF($AQ12="",0,VALUE($AQ12)))</f>
      </c>
      <c r="AU12" t="s">
        <v>102</v>
      </c>
      <c r="AV12" t="s">
        <v>103</v>
      </c>
      <c r="AW12" t="s">
        <v>104</v>
      </c>
      <c r="AX12" t="s">
        <v>105</v>
      </c>
      <c r="AY12" t="s">
        <v>106</v>
      </c>
    </row>
    <row r="13" spans="1:51" x14ac:dyDescent="0.25">
      <c r="R13" s="1"/>
      <c r="S13" s="1"/>
      <c r="T13" s="1"/>
      <c r="U13" s="1"/>
      <c r="V13" s="1">
        <f>IF($R13="","",TRIM(MID($R13,FIND(" - ",$R13)+3,LEN($R13))))</f>
      </c>
      <c r="W13" s="1"/>
      <c r="AC13" s="8" t="str">
        <f>IF(AND(Z13&lt;&gt;"",AB13&lt;&gt;""),Z13*AB13,"")</f>
        <v/>
      </c>
      <c r="AG13" s="2"/>
      <c r="AH13" s="3" t="str">
        <f>IF(AG13=18%,ROUND((AA13+AK13)*0.18,2),"")</f>
        <v/>
      </c>
      <c r="AI13" s="3" t="str">
        <f>IF(AG13=25%,ROUND((AA13+AK13)*0.25,2),"")</f>
        <v/>
      </c>
      <c r="AJ13" s="9">
        <f>IF(OR($AA13="",$AB13=""),"",IFERROR($AA13/$AB13,0))</f>
      </c>
      <c r="AK13">
        <f>IF($AA13="","",
IF($S13="","",
IF(ISNUMBER(SEARCH("exempt",LOWER($S13))),0,
$AA13*(VALUE(SUBSTITUTE($S13,"%",""))/100))))</f>
      </c>
      <c r="AR13">
        <f>IF($AA13="","",
SUM($AA13,$AK13,$AO13,$AL13,$AN13,$AM13,$AP13)-
IF($AQ13="",0,VALUE($AQ13)))</f>
      </c>
      <c r="AU13" t="s">
        <v>107</v>
      </c>
      <c r="AV13" t="s">
        <v>108</v>
      </c>
      <c r="AW13" t="s">
        <v>109</v>
      </c>
      <c r="AX13" t="s">
        <v>110</v>
      </c>
      <c r="AY13" t="s">
        <v>111</v>
      </c>
    </row>
    <row r="14" spans="1:51" x14ac:dyDescent="0.25">
      <c r="R14" s="1"/>
      <c r="S14" s="1"/>
      <c r="T14" s="1"/>
      <c r="U14" s="1"/>
      <c r="V14" s="1">
        <f>IF($R14="","",TRIM(MID($R14,FIND(" - ",$R14)+3,LEN($R14))))</f>
      </c>
      <c r="W14" s="1"/>
      <c r="AC14" s="8" t="str">
        <f>IF(AND(Z14&lt;&gt;"",AB14&lt;&gt;""),Z14*AB14,"")</f>
        <v/>
      </c>
      <c r="AG14" s="2"/>
      <c r="AH14" s="3" t="str">
        <f>IF(AG14=18%,ROUND((AA14+AK14)*0.18,2),"")</f>
        <v/>
      </c>
      <c r="AI14" s="3" t="str">
        <f>IF(AG14=25%,ROUND((AA14+AK14)*0.25,2),"")</f>
        <v/>
      </c>
      <c r="AJ14" s="9">
        <f>IF(OR($AA14="",$AB14=""),"",IFERROR($AA14/$AB14,0))</f>
      </c>
      <c r="AK14">
        <f>IF($AA14="","",
IF($S14="","",
IF(ISNUMBER(SEARCH("exempt",LOWER($S14))),0,
$AA14*(VALUE(SUBSTITUTE($S14,"%",""))/100))))</f>
      </c>
      <c r="AR14">
        <f>IF($AA14="","",
SUM($AA14,$AK14,$AO14,$AL14,$AN14,$AM14,$AP14)-
IF($AQ14="",0,VALUE($AQ14)))</f>
      </c>
      <c r="AU14" t="s">
        <v>112</v>
      </c>
      <c r="AV14" t="s">
        <v>113</v>
      </c>
      <c r="AW14" t="s">
        <v>114</v>
      </c>
      <c r="AX14" t="s">
        <v>115</v>
      </c>
      <c r="AY14" t="s">
        <v>116</v>
      </c>
    </row>
    <row r="15" spans="1:51" x14ac:dyDescent="0.25">
      <c r="R15" s="1"/>
      <c r="S15" s="1"/>
      <c r="T15" s="1"/>
      <c r="U15" s="1"/>
      <c r="V15" s="1">
        <f>IF($R15="","",TRIM(MID($R15,FIND(" - ",$R15)+3,LEN($R15))))</f>
      </c>
      <c r="W15" s="1"/>
      <c r="AC15" s="8" t="str">
        <f>IF(AND(Z15&lt;&gt;"",AB15&lt;&gt;""),Z15*AB15,"")</f>
        <v/>
      </c>
      <c r="AG15" s="2"/>
      <c r="AH15" s="3" t="str">
        <f>IF(AG15=18%,ROUND((AA15+AK15)*0.18,2),"")</f>
        <v/>
      </c>
      <c r="AI15" s="3" t="str">
        <f>IF(AG15=25%,ROUND((AA15+AK15)*0.25,2),"")</f>
        <v/>
      </c>
      <c r="AJ15" s="9">
        <f>IF(OR($AA15="",$AB15=""),"",IFERROR($AA15/$AB15,0))</f>
      </c>
      <c r="AK15">
        <f>IF($AA15="","",
IF($S15="","",
IF(ISNUMBER(SEARCH("exempt",LOWER($S15))),0,
$AA15*(VALUE(SUBSTITUTE($S15,"%",""))/100))))</f>
      </c>
      <c r="AR15">
        <f>IF($AA15="","",
SUM($AA15,$AK15,$AO15,$AL15,$AN15,$AM15,$AP15)-
IF($AQ15="",0,VALUE($AQ15)))</f>
      </c>
      <c r="AU15" t="s">
        <v>117</v>
      </c>
      <c r="AV15" t="s">
        <v>118</v>
      </c>
      <c r="AW15" t="s">
        <v>119</v>
      </c>
      <c r="AX15" t="s">
        <v>120</v>
      </c>
      <c r="AY15" t="s">
        <v>121</v>
      </c>
    </row>
    <row r="16" spans="1:51" x14ac:dyDescent="0.25">
      <c r="R16" s="1"/>
      <c r="S16" s="1"/>
      <c r="T16" s="1"/>
      <c r="U16" s="1"/>
      <c r="V16" s="1">
        <f>IF($R16="","",TRIM(MID($R16,FIND(" - ",$R16)+3,LEN($R16))))</f>
      </c>
      <c r="W16" s="1"/>
      <c r="AC16" s="8" t="str">
        <f>IF(AND(Z16&lt;&gt;"",AB16&lt;&gt;""),Z16*AB16,"")</f>
        <v/>
      </c>
      <c r="AG16" s="2"/>
      <c r="AH16" s="3" t="str">
        <f>IF(AG16=18%,ROUND((AA16+AK16)*0.18,2),"")</f>
        <v/>
      </c>
      <c r="AI16" s="3" t="str">
        <f>IF(AG16=25%,ROUND((AA16+AK16)*0.25,2),"")</f>
        <v/>
      </c>
      <c r="AJ16" s="9">
        <f>IF(OR($AA16="",$AB16=""),"",IFERROR($AA16/$AB16,0))</f>
      </c>
      <c r="AK16">
        <f>IF($AA16="","",
IF($S16="","",
IF(ISNUMBER(SEARCH("exempt",LOWER($S16))),0,
$AA16*(VALUE(SUBSTITUTE($S16,"%",""))/100))))</f>
      </c>
      <c r="AR16">
        <f>IF($AA16="","",
SUM($AA16,$AK16,$AO16,$AL16,$AN16,$AM16,$AP16)-
IF($AQ16="",0,VALUE($AQ16)))</f>
      </c>
      <c r="AU16" t="s">
        <v>122</v>
      </c>
      <c r="AV16" t="s">
        <v>123</v>
      </c>
      <c r="AW16" t="s">
        <v>124</v>
      </c>
      <c r="AX16" t="s">
        <v>125</v>
      </c>
      <c r="AY16" t="s">
        <v>126</v>
      </c>
    </row>
    <row r="17" spans="1:51" x14ac:dyDescent="0.25">
      <c r="R17" s="1"/>
      <c r="S17" s="1"/>
      <c r="T17" s="1"/>
      <c r="U17" s="1"/>
      <c r="V17" s="1">
        <f>IF($R17="","",TRIM(MID($R17,FIND(" - ",$R17)+3,LEN($R17))))</f>
      </c>
      <c r="W17" s="1"/>
      <c r="AC17" s="8" t="str">
        <f>IF(AND(Z17&lt;&gt;"",AB17&lt;&gt;""),Z17*AB17,"")</f>
        <v/>
      </c>
      <c r="AG17" s="2"/>
      <c r="AH17" s="3" t="str">
        <f>IF(AG17=18%,ROUND((AA17+AK17)*0.18,2),"")</f>
        <v/>
      </c>
      <c r="AI17" s="3" t="str">
        <f>IF(AG17=25%,ROUND((AA17+AK17)*0.25,2),"")</f>
        <v/>
      </c>
      <c r="AJ17" s="9">
        <f>IF(OR($AA17="",$AB17=""),"",IFERROR($AA17/$AB17,0))</f>
      </c>
      <c r="AK17">
        <f>IF($AA17="","",
IF($S17="","",
IF(ISNUMBER(SEARCH("exempt",LOWER($S17))),0,
$AA17*(VALUE(SUBSTITUTE($S17,"%",""))/100))))</f>
      </c>
      <c r="AR17">
        <f>IF($AA17="","",
SUM($AA17,$AK17,$AO17,$AL17,$AN17,$AM17,$AP17)-
IF($AQ17="",0,VALUE($AQ17)))</f>
      </c>
      <c r="AU17" t="s">
        <v>127</v>
      </c>
      <c r="AV17" t="s">
        <v>128</v>
      </c>
      <c r="AW17" t="s">
        <v>129</v>
      </c>
      <c r="AX17" t="s">
        <v>130</v>
      </c>
      <c r="AY17" t="s">
        <v>131</v>
      </c>
    </row>
    <row r="18" spans="1:51" x14ac:dyDescent="0.25">
      <c r="R18" s="1"/>
      <c r="S18" s="1"/>
      <c r="T18" s="1"/>
      <c r="U18" s="1"/>
      <c r="V18" s="1">
        <f>IF($R18="","",TRIM(MID($R18,FIND(" - ",$R18)+3,LEN($R18))))</f>
      </c>
      <c r="W18" s="1"/>
      <c r="AC18" s="8" t="str">
        <f>IF(AND(Z18&lt;&gt;"",AB18&lt;&gt;""),Z18*AB18,"")</f>
        <v/>
      </c>
      <c r="AG18" s="2"/>
      <c r="AH18" s="3" t="str">
        <f>IF(AG18=18%,ROUND((AA18+AK18)*0.18,2),"")</f>
        <v/>
      </c>
      <c r="AI18" s="3" t="str">
        <f>IF(AG18=25%,ROUND((AA18+AK18)*0.25,2),"")</f>
        <v/>
      </c>
      <c r="AJ18" s="9">
        <f>IF(OR($AA18="",$AB18=""),"",IFERROR($AA18/$AB18,0))</f>
      </c>
      <c r="AK18">
        <f>IF($AA18="","",
IF($S18="","",
IF(ISNUMBER(SEARCH("exempt",LOWER($S18))),0,
$AA18*(VALUE(SUBSTITUTE($S18,"%",""))/100))))</f>
      </c>
      <c r="AR18">
        <f>IF($AA18="","",
SUM($AA18,$AK18,$AO18,$AL18,$AN18,$AM18,$AP18)-
IF($AQ18="",0,VALUE($AQ18)))</f>
      </c>
      <c r="AU18" t="s">
        <v>132</v>
      </c>
      <c r="AV18" t="s">
        <v>133</v>
      </c>
      <c r="AW18" t="s">
        <v>134</v>
      </c>
      <c r="AX18" t="s">
        <v>135</v>
      </c>
      <c r="AY18" t="s">
        <v>136</v>
      </c>
    </row>
    <row r="19" spans="1:51" x14ac:dyDescent="0.25">
      <c r="R19" s="1"/>
      <c r="S19" s="1"/>
      <c r="T19" s="1"/>
      <c r="U19" s="1"/>
      <c r="V19" s="1">
        <f>IF($R19="","",TRIM(MID($R19,FIND(" - ",$R19)+3,LEN($R19))))</f>
      </c>
      <c r="W19" s="1"/>
      <c r="AC19" s="8" t="str">
        <f>IF(AND(Z19&lt;&gt;"",AB19&lt;&gt;""),Z19*AB19,"")</f>
        <v/>
      </c>
      <c r="AG19" s="2"/>
      <c r="AH19" s="3" t="str">
        <f>IF(AG19=18%,ROUND((AA19+AK19)*0.18,2),"")</f>
        <v/>
      </c>
      <c r="AI19" s="3" t="str">
        <f>IF(AG19=25%,ROUND((AA19+AK19)*0.25,2),"")</f>
        <v/>
      </c>
      <c r="AJ19" s="9">
        <f>IF(OR($AA19="",$AB19=""),"",IFERROR($AA19/$AB19,0))</f>
      </c>
      <c r="AK19">
        <f>IF($AA19="","",
IF($S19="","",
IF(ISNUMBER(SEARCH("exempt",LOWER($S19))),0,
$AA19*(VALUE(SUBSTITUTE($S19,"%",""))/100))))</f>
      </c>
      <c r="AR19">
        <f>IF($AA19="","",
SUM($AA19,$AK19,$AO19,$AL19,$AN19,$AM19,$AP19)-
IF($AQ19="",0,VALUE($AQ19)))</f>
      </c>
      <c r="AU19" t="s">
        <v>137</v>
      </c>
      <c r="AV19" t="s">
        <v>138</v>
      </c>
      <c r="AW19" t="s">
        <v>139</v>
      </c>
      <c r="AX19" t="s">
        <v>140</v>
      </c>
      <c r="AY19" t="s">
        <v>141</v>
      </c>
    </row>
    <row r="20" spans="1:51" x14ac:dyDescent="0.25">
      <c r="R20" s="1"/>
      <c r="S20" s="1"/>
      <c r="T20" s="1"/>
      <c r="U20" s="1"/>
      <c r="V20" s="1">
        <f>IF($R20="","",TRIM(MID($R20,FIND(" - ",$R20)+3,LEN($R20))))</f>
      </c>
      <c r="W20" s="1"/>
      <c r="AC20" s="8" t="str">
        <f>IF(AND(Z20&lt;&gt;"",AB20&lt;&gt;""),Z20*AB20,"")</f>
        <v/>
      </c>
      <c r="AG20" s="2"/>
      <c r="AH20" s="3" t="str">
        <f>IF(AG20=18%,ROUND((AA20+AK20)*0.18,2),"")</f>
        <v/>
      </c>
      <c r="AI20" s="3" t="str">
        <f>IF(AG20=25%,ROUND((AA20+AK20)*0.25,2),"")</f>
        <v/>
      </c>
      <c r="AJ20" s="9">
        <f>IF(OR($AA20="",$AB20=""),"",IFERROR($AA20/$AB20,0))</f>
      </c>
      <c r="AK20">
        <f>IF($AA20="","",
IF($S20="","",
IF(ISNUMBER(SEARCH("exempt",LOWER($S20))),0,
$AA20*(VALUE(SUBSTITUTE($S20,"%",""))/100))))</f>
      </c>
      <c r="AR20">
        <f>IF($AA20="","",
SUM($AA20,$AK20,$AO20,$AL20,$AN20,$AM20,$AP20)-
IF($AQ20="",0,VALUE($AQ20)))</f>
      </c>
      <c r="AU20" t="s">
        <v>142</v>
      </c>
      <c r="AV20" t="s">
        <v>143</v>
      </c>
      <c r="AW20" t="s">
        <v>144</v>
      </c>
      <c r="AX20" t="s">
        <v>145</v>
      </c>
      <c r="AY20" t="s">
        <v>146</v>
      </c>
    </row>
    <row r="21" spans="1:51" x14ac:dyDescent="0.25">
      <c r="R21" s="1"/>
      <c r="S21" s="1"/>
      <c r="T21" s="1"/>
      <c r="U21" s="1"/>
      <c r="V21" s="1">
        <f>IF($R21="","",TRIM(MID($R21,FIND(" - ",$R21)+3,LEN($R21))))</f>
      </c>
      <c r="W21" s="1"/>
      <c r="AC21" s="8" t="str">
        <f>IF(AND(Z21&lt;&gt;"",AB21&lt;&gt;""),Z21*AB21,"")</f>
        <v/>
      </c>
      <c r="AG21" s="2"/>
      <c r="AH21" s="3" t="str">
        <f>IF(AG21=18%,ROUND((AA21+AK21)*0.18,2),"")</f>
        <v/>
      </c>
      <c r="AI21" s="3" t="str">
        <f>IF(AG21=25%,ROUND((AA21+AK21)*0.25,2),"")</f>
        <v/>
      </c>
      <c r="AJ21" s="9">
        <f>IF(OR($AA21="",$AB21=""),"",IFERROR($AA21/$AB21,0))</f>
      </c>
      <c r="AK21">
        <f>IF($AA21="","",
IF($S21="","",
IF(ISNUMBER(SEARCH("exempt",LOWER($S21))),0,
$AA21*(VALUE(SUBSTITUTE($S21,"%",""))/100))))</f>
      </c>
      <c r="AR21">
        <f>IF($AA21="","",
SUM($AA21,$AK21,$AO21,$AL21,$AN21,$AM21,$AP21)-
IF($AQ21="",0,VALUE($AQ21)))</f>
      </c>
      <c r="AU21" t="s">
        <v>147</v>
      </c>
      <c r="AV21" t="s">
        <v>148</v>
      </c>
      <c r="AW21" t="s">
        <v>149</v>
      </c>
      <c r="AX21" t="s">
        <v>150</v>
      </c>
      <c r="AY21" t="s">
        <v>151</v>
      </c>
    </row>
    <row r="22" spans="1:51" x14ac:dyDescent="0.25">
      <c r="R22" s="1"/>
      <c r="S22" s="1"/>
      <c r="T22" s="1"/>
      <c r="U22" s="1"/>
      <c r="V22" s="1">
        <f>IF($R22="","",TRIM(MID($R22,FIND(" - ",$R22)+3,LEN($R22))))</f>
      </c>
      <c r="W22" s="1"/>
      <c r="AC22" s="8" t="str">
        <f>IF(AND(Z22&lt;&gt;"",AB22&lt;&gt;""),Z22*AB22,"")</f>
        <v/>
      </c>
      <c r="AG22" s="2"/>
      <c r="AH22" s="3" t="str">
        <f>IF(AG22=18%,ROUND((AA22+AK22)*0.18,2),"")</f>
        <v/>
      </c>
      <c r="AI22" s="3" t="str">
        <f>IF(AG22=25%,ROUND((AA22+AK22)*0.25,2),"")</f>
        <v/>
      </c>
      <c r="AJ22" s="9">
        <f>IF(OR($AA22="",$AB22=""),"",IFERROR($AA22/$AB22,0))</f>
      </c>
      <c r="AK22">
        <f>IF($AA22="","",
IF($S22="","",
IF(ISNUMBER(SEARCH("exempt",LOWER($S22))),0,
$AA22*(VALUE(SUBSTITUTE($S22,"%",""))/100))))</f>
      </c>
      <c r="AR22">
        <f>IF($AA22="","",
SUM($AA22,$AK22,$AO22,$AL22,$AN22,$AM22,$AP22)-
IF($AQ22="",0,VALUE($AQ22)))</f>
      </c>
      <c r="AU22" t="s">
        <v>152</v>
      </c>
      <c r="AV22" t="s">
        <v>153</v>
      </c>
      <c r="AW22" t="s">
        <v>154</v>
      </c>
      <c r="AX22" t="s">
        <v>155</v>
      </c>
      <c r="AY22" t="s">
        <v>156</v>
      </c>
    </row>
    <row r="23" spans="1:51" x14ac:dyDescent="0.25">
      <c r="R23" s="1"/>
      <c r="S23" s="1"/>
      <c r="T23" s="1"/>
      <c r="U23" s="1"/>
      <c r="V23" s="1">
        <f>IF($R23="","",TRIM(MID($R23,FIND(" - ",$R23)+3,LEN($R23))))</f>
      </c>
      <c r="W23" s="1"/>
      <c r="AC23" s="8" t="str">
        <f>IF(AND(Z23&lt;&gt;"",AB23&lt;&gt;""),Z23*AB23,"")</f>
        <v/>
      </c>
      <c r="AG23" s="2"/>
      <c r="AH23" s="3" t="str">
        <f>IF(AG23=18%,ROUND((AA23+AK23)*0.18,2),"")</f>
        <v/>
      </c>
      <c r="AI23" s="3" t="str">
        <f>IF(AG23=25%,ROUND((AA23+AK23)*0.25,2),"")</f>
        <v/>
      </c>
      <c r="AJ23" s="9">
        <f>IF(OR($AA23="",$AB23=""),"",IFERROR($AA23/$AB23,0))</f>
      </c>
      <c r="AK23">
        <f>IF($AA23="","",
IF($S23="","",
IF(ISNUMBER(SEARCH("exempt",LOWER($S23))),0,
$AA23*(VALUE(SUBSTITUTE($S23,"%",""))/100))))</f>
      </c>
      <c r="AR23">
        <f>IF($AA23="","",
SUM($AA23,$AK23,$AO23,$AL23,$AN23,$AM23,$AP23)-
IF($AQ23="",0,VALUE($AQ23)))</f>
      </c>
      <c r="AU23" t="s">
        <v>157</v>
      </c>
      <c r="AV23" t="s">
        <v>158</v>
      </c>
      <c r="AW23" t="s">
        <v>159</v>
      </c>
      <c r="AX23" t="s">
        <v>160</v>
      </c>
      <c r="AY23" t="s">
        <v>161</v>
      </c>
    </row>
    <row r="24" spans="1:51" x14ac:dyDescent="0.25">
      <c r="R24" s="1"/>
      <c r="S24" s="1"/>
      <c r="T24" s="1"/>
      <c r="U24" s="1"/>
      <c r="V24" s="1">
        <f>IF($R24="","",TRIM(MID($R24,FIND(" - ",$R24)+3,LEN($R24))))</f>
      </c>
      <c r="W24" s="1"/>
      <c r="AC24" s="8" t="str">
        <f>IF(AND(Z24&lt;&gt;"",AB24&lt;&gt;""),Z24*AB24,"")</f>
        <v/>
      </c>
      <c r="AG24" s="2"/>
      <c r="AH24" s="3" t="str">
        <f>IF(AG24=18%,ROUND((AA24+AK24)*0.18,2),"")</f>
        <v/>
      </c>
      <c r="AI24" s="3" t="str">
        <f>IF(AG24=25%,ROUND((AA24+AK24)*0.25,2),"")</f>
        <v/>
      </c>
      <c r="AJ24" s="9">
        <f>IF(OR($AA24="",$AB24=""),"",IFERROR($AA24/$AB24,0))</f>
      </c>
      <c r="AK24">
        <f>IF($AA24="","",
IF($S24="","",
IF(ISNUMBER(SEARCH("exempt",LOWER($S24))),0,
$AA24*(VALUE(SUBSTITUTE($S24,"%",""))/100))))</f>
      </c>
      <c r="AR24">
        <f>IF($AA24="","",
SUM($AA24,$AK24,$AO24,$AL24,$AN24,$AM24,$AP24)-
IF($AQ24="",0,VALUE($AQ24)))</f>
      </c>
      <c r="AU24" t="s">
        <v>162</v>
      </c>
      <c r="AV24" t="s">
        <v>163</v>
      </c>
      <c r="AW24" t="s">
        <v>164</v>
      </c>
      <c r="AX24" t="s">
        <v>165</v>
      </c>
      <c r="AY24" t="s">
        <v>166</v>
      </c>
    </row>
    <row r="25" spans="1:51" x14ac:dyDescent="0.25">
      <c r="R25" s="1"/>
      <c r="S25" s="1"/>
      <c r="T25" s="1"/>
      <c r="U25" s="1"/>
      <c r="V25" s="1">
        <f>IF($R25="","",TRIM(MID($R25,FIND(" - ",$R25)+3,LEN($R25))))</f>
      </c>
      <c r="W25" s="1"/>
      <c r="AC25" s="8" t="str">
        <f>IF(AND(Z25&lt;&gt;"",AB25&lt;&gt;""),Z25*AB25,"")</f>
        <v/>
      </c>
      <c r="AG25" s="2"/>
      <c r="AH25" s="3" t="str">
        <f>IF(AG25=18%,ROUND((AA25+AK25)*0.18,2),"")</f>
        <v/>
      </c>
      <c r="AI25" s="3" t="str">
        <f>IF(AG25=25%,ROUND((AA25+AK25)*0.25,2),"")</f>
        <v/>
      </c>
      <c r="AJ25" s="9">
        <f>IF(OR($AA25="",$AB25=""),"",IFERROR($AA25/$AB25,0))</f>
      </c>
      <c r="AK25">
        <f>IF($AA25="","",
IF($S25="","",
IF(ISNUMBER(SEARCH("exempt",LOWER($S25))),0,
$AA25*(VALUE(SUBSTITUTE($S25,"%",""))/100))))</f>
      </c>
      <c r="AR25">
        <f>IF($AA25="","",
SUM($AA25,$AK25,$AO25,$AL25,$AN25,$AM25,$AP25)-
IF($AQ25="",0,VALUE($AQ25)))</f>
      </c>
      <c r="AU25" t="s">
        <v>167</v>
      </c>
      <c r="AV25" t="s">
        <v>168</v>
      </c>
      <c r="AW25" t="s">
        <v>169</v>
      </c>
      <c r="AX25" t="s">
        <v>170</v>
      </c>
      <c r="AY25" t="s">
        <v>171</v>
      </c>
    </row>
    <row r="26" spans="1:51" x14ac:dyDescent="0.25">
      <c r="R26" s="1"/>
      <c r="S26" s="1"/>
      <c r="T26" s="1"/>
      <c r="U26" s="1"/>
      <c r="V26" s="1">
        <f>IF($R26="","",TRIM(MID($R26,FIND(" - ",$R26)+3,LEN($R26))))</f>
      </c>
      <c r="W26" s="1"/>
      <c r="AC26" s="8" t="str">
        <f>IF(AND(Z26&lt;&gt;"",AB26&lt;&gt;""),Z26*AB26,"")</f>
        <v/>
      </c>
      <c r="AG26" s="2"/>
      <c r="AH26" s="3" t="str">
        <f>IF(AG26=18%,ROUND((AA26+AK26)*0.18,2),"")</f>
        <v/>
      </c>
      <c r="AI26" s="3" t="str">
        <f>IF(AG26=25%,ROUND((AA26+AK26)*0.25,2),"")</f>
        <v/>
      </c>
      <c r="AJ26" s="9">
        <f>IF(OR($AA26="",$AB26=""),"",IFERROR($AA26/$AB26,0))</f>
      </c>
      <c r="AK26">
        <f>IF($AA26="","",
IF($S26="","",
IF(ISNUMBER(SEARCH("exempt",LOWER($S26))),0,
$AA26*(VALUE(SUBSTITUTE($S26,"%",""))/100))))</f>
      </c>
      <c r="AR26">
        <f>IF($AA26="","",
SUM($AA26,$AK26,$AO26,$AL26,$AN26,$AM26,$AP26)-
IF($AQ26="",0,VALUE($AQ26)))</f>
      </c>
      <c r="AU26" t="s">
        <v>172</v>
      </c>
      <c r="AV26" t="s">
        <v>173</v>
      </c>
      <c r="AW26" t="s">
        <v>174</v>
      </c>
      <c r="AX26" t="s">
        <v>175</v>
      </c>
      <c r="AY26" t="s">
        <v>176</v>
      </c>
    </row>
    <row r="27" spans="1:51" x14ac:dyDescent="0.25">
      <c r="R27" s="1"/>
      <c r="S27" s="1"/>
      <c r="T27" s="1"/>
      <c r="U27" s="1"/>
      <c r="V27" s="1">
        <f>IF($R27="","",TRIM(MID($R27,FIND(" - ",$R27)+3,LEN($R27))))</f>
      </c>
      <c r="W27" s="1"/>
      <c r="AC27" s="8" t="str">
        <f>IF(AND(Z27&lt;&gt;"",AB27&lt;&gt;""),Z27*AB27,"")</f>
        <v/>
      </c>
      <c r="AG27" s="2"/>
      <c r="AH27" s="3" t="str">
        <f>IF(AG27=18%,ROUND((AA27+AK27)*0.18,2),"")</f>
        <v/>
      </c>
      <c r="AI27" s="3" t="str">
        <f>IF(AG27=25%,ROUND((AA27+AK27)*0.25,2),"")</f>
        <v/>
      </c>
      <c r="AJ27" s="9">
        <f>IF(OR($AA27="",$AB27=""),"",IFERROR($AA27/$AB27,0))</f>
      </c>
      <c r="AK27">
        <f>IF($AA27="","",
IF($S27="","",
IF(ISNUMBER(SEARCH("exempt",LOWER($S27))),0,
$AA27*(VALUE(SUBSTITUTE($S27,"%",""))/100))))</f>
      </c>
      <c r="AR27">
        <f>IF($AA27="","",
SUM($AA27,$AK27,$AO27,$AL27,$AN27,$AM27,$AP27)-
IF($AQ27="",0,VALUE($AQ27)))</f>
      </c>
      <c r="AU27" t="s">
        <v>177</v>
      </c>
      <c r="AV27" t="s">
        <v>178</v>
      </c>
      <c r="AW27" t="s">
        <v>179</v>
      </c>
      <c r="AY27" t="s">
        <v>180</v>
      </c>
    </row>
    <row r="28" spans="1:51" x14ac:dyDescent="0.25">
      <c r="R28" s="1"/>
      <c r="S28" s="1"/>
      <c r="T28" s="1"/>
      <c r="U28" s="1"/>
      <c r="V28" s="1">
        <f>IF($R28="","",TRIM(MID($R28,FIND(" - ",$R28)+3,LEN($R28))))</f>
      </c>
      <c r="W28" s="1"/>
      <c r="AC28" s="8" t="str">
        <f>IF(AND(Z28&lt;&gt;"",AB28&lt;&gt;""),Z28*AB28,"")</f>
        <v/>
      </c>
      <c r="AG28" s="2"/>
      <c r="AH28" s="3" t="str">
        <f>IF(AG28=18%,ROUND((AA28+AK28)*0.18,2),"")</f>
        <v/>
      </c>
      <c r="AI28" s="3" t="str">
        <f>IF(AG28=25%,ROUND((AA28+AK28)*0.25,2),"")</f>
        <v/>
      </c>
      <c r="AJ28" s="9">
        <f>IF(OR($AA28="",$AB28=""),"",IFERROR($AA28/$AB28,0))</f>
      </c>
      <c r="AK28">
        <f>IF($AA28="","",
IF($S28="","",
IF(ISNUMBER(SEARCH("exempt",LOWER($S28))),0,
$AA28*(VALUE(SUBSTITUTE($S28,"%",""))/100))))</f>
      </c>
      <c r="AR28">
        <f>IF($AA28="","",
SUM($AA28,$AK28,$AO28,$AL28,$AN28,$AM28,$AP28)-
IF($AQ28="",0,VALUE($AQ28)))</f>
      </c>
      <c r="AV28" t="s">
        <v>181</v>
      </c>
      <c r="AW28" t="s">
        <v>182</v>
      </c>
      <c r="AY28" t="s">
        <v>183</v>
      </c>
    </row>
    <row r="29" spans="1:51" x14ac:dyDescent="0.25">
      <c r="R29" s="1"/>
      <c r="S29" s="1"/>
      <c r="T29" s="1"/>
      <c r="U29" s="1"/>
      <c r="V29" s="1">
        <f>IF($R29="","",TRIM(MID($R29,FIND(" - ",$R29)+3,LEN($R29))))</f>
      </c>
      <c r="W29" s="1"/>
      <c r="AC29" s="8" t="str">
        <f>IF(AND(Z29&lt;&gt;"",AB29&lt;&gt;""),Z29*AB29,"")</f>
        <v/>
      </c>
      <c r="AG29" s="2"/>
      <c r="AH29" s="3" t="str">
        <f>IF(AG29=18%,ROUND((AA29+AK29)*0.18,2),"")</f>
        <v/>
      </c>
      <c r="AI29" s="3" t="str">
        <f>IF(AG29=25%,ROUND((AA29+AK29)*0.25,2),"")</f>
        <v/>
      </c>
      <c r="AJ29" s="9">
        <f>IF(OR($AA29="",$AB29=""),"",IFERROR($AA29/$AB29,0))</f>
      </c>
      <c r="AK29">
        <f>IF($AA29="","",
IF($S29="","",
IF(ISNUMBER(SEARCH("exempt",LOWER($S29))),0,
$AA29*(VALUE(SUBSTITUTE($S29,"%",""))/100))))</f>
      </c>
      <c r="AR29">
        <f>IF($AA29="","",
SUM($AA29,$AK29,$AO29,$AL29,$AN29,$AM29,$AP29)-
IF($AQ29="",0,VALUE($AQ29)))</f>
      </c>
      <c r="AV29" t="s">
        <v>184</v>
      </c>
      <c r="AW29" t="s">
        <v>185</v>
      </c>
      <c r="AY29" t="s">
        <v>186</v>
      </c>
    </row>
    <row r="30" spans="1:51" x14ac:dyDescent="0.25">
      <c r="R30" s="1"/>
      <c r="S30" s="1"/>
      <c r="T30" s="1"/>
      <c r="U30" s="1"/>
      <c r="V30" s="1">
        <f>IF($R30="","",TRIM(MID($R30,FIND(" - ",$R30)+3,LEN($R30))))</f>
      </c>
      <c r="W30" s="1"/>
      <c r="AC30" s="8" t="str">
        <f>IF(AND(Z30&lt;&gt;"",AB30&lt;&gt;""),Z30*AB30,"")</f>
        <v/>
      </c>
      <c r="AG30" s="2"/>
      <c r="AH30" s="3" t="str">
        <f>IF(AG30=18%,ROUND((AA30+AK30)*0.18,2),"")</f>
        <v/>
      </c>
      <c r="AI30" s="3" t="str">
        <f>IF(AG30=25%,ROUND((AA30+AK30)*0.25,2),"")</f>
        <v/>
      </c>
      <c r="AJ30" s="9">
        <f>IF(OR($AA30="",$AB30=""),"",IFERROR($AA30/$AB30,0))</f>
      </c>
      <c r="AK30">
        <f>IF($AA30="","",
IF($S30="","",
IF(ISNUMBER(SEARCH("exempt",LOWER($S30))),0,
$AA30*(VALUE(SUBSTITUTE($S30,"%",""))/100))))</f>
      </c>
      <c r="AR30">
        <f>IF($AA30="","",
SUM($AA30,$AK30,$AO30,$AL30,$AN30,$AM30,$AP30)-
IF($AQ30="",0,VALUE($AQ30)))</f>
      </c>
      <c r="AV30" t="s">
        <v>187</v>
      </c>
      <c r="AW30" t="s">
        <v>188</v>
      </c>
      <c r="AY30" t="s">
        <v>189</v>
      </c>
    </row>
    <row r="31" spans="1:51" x14ac:dyDescent="0.25">
      <c r="R31" s="1"/>
      <c r="S31" s="1"/>
      <c r="T31" s="1"/>
      <c r="U31" s="1"/>
      <c r="V31" s="1">
        <f>IF($R31="","",TRIM(MID($R31,FIND(" - ",$R31)+3,LEN($R31))))</f>
      </c>
      <c r="W31" s="1"/>
      <c r="AC31" s="8" t="str">
        <f>IF(AND(Z31&lt;&gt;"",AB31&lt;&gt;""),Z31*AB31,"")</f>
        <v/>
      </c>
      <c r="AG31" s="2"/>
      <c r="AH31" s="3" t="str">
        <f>IF(AG31=18%,ROUND((AA31+AK31)*0.18,2),"")</f>
        <v/>
      </c>
      <c r="AI31" s="3" t="str">
        <f>IF(AG31=25%,ROUND((AA31+AK31)*0.25,2),"")</f>
        <v/>
      </c>
      <c r="AJ31" s="9">
        <f>IF(OR($AA31="",$AB31=""),"",IFERROR($AA31/$AB31,0))</f>
      </c>
      <c r="AK31">
        <f>IF($AA31="","",
IF($S31="","",
IF(ISNUMBER(SEARCH("exempt",LOWER($S31))),0,
$AA31*(VALUE(SUBSTITUTE($S31,"%",""))/100))))</f>
      </c>
      <c r="AR31">
        <f>IF($AA31="","",
SUM($AA31,$AK31,$AO31,$AL31,$AN31,$AM31,$AP31)-
IF($AQ31="",0,VALUE($AQ31)))</f>
      </c>
      <c r="AV31" t="s">
        <v>190</v>
      </c>
      <c r="AW31" t="s">
        <v>191</v>
      </c>
      <c r="AY31" t="s">
        <v>192</v>
      </c>
    </row>
    <row r="32" spans="1:51" x14ac:dyDescent="0.25">
      <c r="R32" s="1"/>
      <c r="S32" s="1"/>
      <c r="T32" s="1"/>
      <c r="U32" s="1"/>
      <c r="V32" s="1">
        <f>IF($R32="","",TRIM(MID($R32,FIND(" - ",$R32)+3,LEN($R32))))</f>
      </c>
      <c r="W32" s="1"/>
      <c r="AC32" s="8" t="str">
        <f>IF(AND(Z32&lt;&gt;"",AB32&lt;&gt;""),Z32*AB32,"")</f>
        <v/>
      </c>
      <c r="AG32" s="2"/>
      <c r="AH32" s="3" t="str">
        <f>IF(AG32=18%,ROUND((AA32+AK32)*0.18,2),"")</f>
        <v/>
      </c>
      <c r="AI32" s="3" t="str">
        <f>IF(AG32=25%,ROUND((AA32+AK32)*0.25,2),"")</f>
        <v/>
      </c>
      <c r="AJ32" s="9">
        <f>IF(OR($AA32="",$AB32=""),"",IFERROR($AA32/$AB32,0))</f>
      </c>
      <c r="AK32">
        <f>IF($AA32="","",
IF($S32="","",
IF(ISNUMBER(SEARCH("exempt",LOWER($S32))),0,
$AA32*(VALUE(SUBSTITUTE($S32,"%",""))/100))))</f>
      </c>
      <c r="AR32">
        <f>IF($AA32="","",
SUM($AA32,$AK32,$AO32,$AL32,$AN32,$AM32,$AP32)-
IF($AQ32="",0,VALUE($AQ32)))</f>
      </c>
      <c r="AV32" t="s">
        <v>193</v>
      </c>
      <c r="AW32" t="s">
        <v>194</v>
      </c>
      <c r="AY32" t="s">
        <v>195</v>
      </c>
    </row>
    <row r="33" spans="1:51" x14ac:dyDescent="0.25">
      <c r="R33" s="1"/>
      <c r="S33" s="1"/>
      <c r="T33" s="1"/>
      <c r="U33" s="1"/>
      <c r="V33" s="1">
        <f>IF($R33="","",TRIM(MID($R33,FIND(" - ",$R33)+3,LEN($R33))))</f>
      </c>
      <c r="W33" s="1"/>
      <c r="AC33" s="8" t="str">
        <f>IF(AND(Z33&lt;&gt;"",AB33&lt;&gt;""),Z33*AB33,"")</f>
        <v/>
      </c>
      <c r="AG33" s="2"/>
      <c r="AH33" s="3" t="str">
        <f>IF(AG33=18%,ROUND((AA33+AK33)*0.18,2),"")</f>
        <v/>
      </c>
      <c r="AI33" s="3" t="str">
        <f>IF(AG33=25%,ROUND((AA33+AK33)*0.25,2),"")</f>
        <v/>
      </c>
      <c r="AJ33" s="9">
        <f>IF(OR($AA33="",$AB33=""),"",IFERROR($AA33/$AB33,0))</f>
      </c>
      <c r="AK33">
        <f>IF($AA33="","",
IF($S33="","",
IF(ISNUMBER(SEARCH("exempt",LOWER($S33))),0,
$AA33*(VALUE(SUBSTITUTE($S33,"%",""))/100))))</f>
      </c>
      <c r="AR33">
        <f>IF($AA33="","",
SUM($AA33,$AK33,$AO33,$AL33,$AN33,$AM33,$AP33)-
IF($AQ33="",0,VALUE($AQ33)))</f>
      </c>
      <c r="AV33" t="s">
        <v>196</v>
      </c>
      <c r="AW33" t="s">
        <v>197</v>
      </c>
      <c r="AY33" t="s">
        <v>198</v>
      </c>
    </row>
    <row r="34" spans="1:51" x14ac:dyDescent="0.25">
      <c r="R34" s="1"/>
      <c r="S34" s="1"/>
      <c r="T34" s="1"/>
      <c r="U34" s="1"/>
      <c r="V34" s="1">
        <f>IF($R34="","",TRIM(MID($R34,FIND(" - ",$R34)+3,LEN($R34))))</f>
      </c>
      <c r="W34" s="1"/>
      <c r="AC34" s="8" t="str">
        <f>IF(AND(Z34&lt;&gt;"",AB34&lt;&gt;""),Z34*AB34,"")</f>
        <v/>
      </c>
      <c r="AG34" s="2"/>
      <c r="AH34" s="3" t="str">
        <f>IF(AG34=18%,ROUND((AA34+AK34)*0.18,2),"")</f>
        <v/>
      </c>
      <c r="AI34" s="3" t="str">
        <f>IF(AG34=25%,ROUND((AA34+AK34)*0.25,2),"")</f>
        <v/>
      </c>
      <c r="AJ34" s="9">
        <f>IF(OR($AA34="",$AB34=""),"",IFERROR($AA34/$AB34,0))</f>
      </c>
      <c r="AK34">
        <f>IF($AA34="","",
IF($S34="","",
IF(ISNUMBER(SEARCH("exempt",LOWER($S34))),0,
$AA34*(VALUE(SUBSTITUTE($S34,"%",""))/100))))</f>
      </c>
      <c r="AR34">
        <f>IF($AA34="","",
SUM($AA34,$AK34,$AO34,$AL34,$AN34,$AM34,$AP34)-
IF($AQ34="",0,VALUE($AQ34)))</f>
      </c>
      <c r="AW34" t="s">
        <v>199</v>
      </c>
      <c r="AY34" t="s">
        <v>200</v>
      </c>
    </row>
    <row r="35" spans="1:51" x14ac:dyDescent="0.25">
      <c r="R35" s="1"/>
      <c r="S35" s="1"/>
      <c r="T35" s="1"/>
      <c r="U35" s="1"/>
      <c r="V35" s="1">
        <f>IF($R35="","",TRIM(MID($R35,FIND(" - ",$R35)+3,LEN($R35))))</f>
      </c>
      <c r="W35" s="1"/>
      <c r="AC35" s="8" t="str">
        <f>IF(AND(Z35&lt;&gt;"",AB35&lt;&gt;""),Z35*AB35,"")</f>
        <v/>
      </c>
      <c r="AG35" s="2"/>
      <c r="AH35" s="3" t="str">
        <f>IF(AG35=18%,ROUND((AA35+AK35)*0.18,2),"")</f>
        <v/>
      </c>
      <c r="AI35" s="3" t="str">
        <f>IF(AG35=25%,ROUND((AA35+AK35)*0.25,2),"")</f>
        <v/>
      </c>
      <c r="AJ35" s="9">
        <f>IF(OR($AA35="",$AB35=""),"",IFERROR($AA35/$AB35,0))</f>
      </c>
      <c r="AK35">
        <f>IF($AA35="","",
IF($S35="","",
IF(ISNUMBER(SEARCH("exempt",LOWER($S35))),0,
$AA35*(VALUE(SUBSTITUTE($S35,"%",""))/100))))</f>
      </c>
      <c r="AR35">
        <f>IF($AA35="","",
SUM($AA35,$AK35,$AO35,$AL35,$AN35,$AM35,$AP35)-
IF($AQ35="",0,VALUE($AQ35)))</f>
      </c>
      <c r="AW35" t="s">
        <v>201</v>
      </c>
      <c r="AY35" t="s">
        <v>202</v>
      </c>
    </row>
    <row r="36" spans="1:51" x14ac:dyDescent="0.25">
      <c r="R36" s="1"/>
      <c r="S36" s="1"/>
      <c r="T36" s="1"/>
      <c r="U36" s="1"/>
      <c r="V36" s="1">
        <f>IF($R36="","",TRIM(MID($R36,FIND(" - ",$R36)+3,LEN($R36))))</f>
      </c>
      <c r="W36" s="1"/>
      <c r="AC36" s="8" t="str">
        <f>IF(AND(Z36&lt;&gt;"",AB36&lt;&gt;""),Z36*AB36,"")</f>
        <v/>
      </c>
      <c r="AG36" s="2"/>
      <c r="AH36" s="3" t="str">
        <f>IF(AG36=18%,ROUND((AA36+AK36)*0.18,2),"")</f>
        <v/>
      </c>
      <c r="AI36" s="3" t="str">
        <f>IF(AG36=25%,ROUND((AA36+AK36)*0.25,2),"")</f>
        <v/>
      </c>
      <c r="AJ36" s="9">
        <f>IF(OR($AA36="",$AB36=""),"",IFERROR($AA36/$AB36,0))</f>
      </c>
      <c r="AK36">
        <f>IF($AA36="","",
IF($S36="","",
IF(ISNUMBER(SEARCH("exempt",LOWER($S36))),0,
$AA36*(VALUE(SUBSTITUTE($S36,"%",""))/100))))</f>
      </c>
      <c r="AR36">
        <f>IF($AA36="","",
SUM($AA36,$AK36,$AO36,$AL36,$AN36,$AM36,$AP36)-
IF($AQ36="",0,VALUE($AQ36)))</f>
      </c>
      <c r="AW36" t="s">
        <v>203</v>
      </c>
      <c r="AY36" t="s">
        <v>204</v>
      </c>
    </row>
    <row r="37" spans="1:51" x14ac:dyDescent="0.25">
      <c r="R37" s="1"/>
      <c r="S37" s="1"/>
      <c r="T37" s="1"/>
      <c r="U37" s="1"/>
      <c r="V37" s="1">
        <f>IF($R37="","",TRIM(MID($R37,FIND(" - ",$R37)+3,LEN($R37))))</f>
      </c>
      <c r="W37" s="1"/>
      <c r="AC37" s="8" t="str">
        <f>IF(AND(Z37&lt;&gt;"",AB37&lt;&gt;""),Z37*AB37,"")</f>
        <v/>
      </c>
      <c r="AG37" s="2"/>
      <c r="AH37" s="3" t="str">
        <f>IF(AG37=18%,ROUND((AA37+AK37)*0.18,2),"")</f>
        <v/>
      </c>
      <c r="AI37" s="3" t="str">
        <f>IF(AG37=25%,ROUND((AA37+AK37)*0.25,2),"")</f>
        <v/>
      </c>
      <c r="AJ37" s="9">
        <f>IF(OR($AA37="",$AB37=""),"",IFERROR($AA37/$AB37,0))</f>
      </c>
      <c r="AK37">
        <f>IF($AA37="","",
IF($S37="","",
IF(ISNUMBER(SEARCH("exempt",LOWER($S37))),0,
$AA37*(VALUE(SUBSTITUTE($S37,"%",""))/100))))</f>
      </c>
      <c r="AR37">
        <f>IF($AA37="","",
SUM($AA37,$AK37,$AO37,$AL37,$AN37,$AM37,$AP37)-
IF($AQ37="",0,VALUE($AQ37)))</f>
      </c>
      <c r="AW37" t="s">
        <v>205</v>
      </c>
      <c r="AY37" t="s">
        <v>206</v>
      </c>
    </row>
    <row r="38" spans="1:51" x14ac:dyDescent="0.25">
      <c r="R38" s="1"/>
      <c r="S38" s="1"/>
      <c r="T38" s="1"/>
      <c r="U38" s="1"/>
      <c r="V38" s="1">
        <f>IF($R38="","",TRIM(MID($R38,FIND(" - ",$R38)+3,LEN($R38))))</f>
      </c>
      <c r="W38" s="1"/>
      <c r="AC38" s="8" t="str">
        <f>IF(AND(Z38&lt;&gt;"",AB38&lt;&gt;""),Z38*AB38,"")</f>
        <v/>
      </c>
      <c r="AG38" s="2"/>
      <c r="AH38" s="3" t="str">
        <f>IF(AG38=18%,ROUND((AA38+AK38)*0.18,2),"")</f>
        <v/>
      </c>
      <c r="AI38" s="3" t="str">
        <f>IF(AG38=25%,ROUND((AA38+AK38)*0.25,2),"")</f>
        <v/>
      </c>
      <c r="AJ38" s="9">
        <f>IF(OR($AA38="",$AB38=""),"",IFERROR($AA38/$AB38,0))</f>
      </c>
      <c r="AK38">
        <f>IF($AA38="","",
IF($S38="","",
IF(ISNUMBER(SEARCH("exempt",LOWER($S38))),0,
$AA38*(VALUE(SUBSTITUTE($S38,"%",""))/100))))</f>
      </c>
      <c r="AR38">
        <f>IF($AA38="","",
SUM($AA38,$AK38,$AO38,$AL38,$AN38,$AM38,$AP38)-
IF($AQ38="",0,VALUE($AQ38)))</f>
      </c>
      <c r="AW38" t="s">
        <v>207</v>
      </c>
      <c r="AY38" t="s">
        <v>208</v>
      </c>
    </row>
    <row r="39" spans="1:51" x14ac:dyDescent="0.25">
      <c r="R39" s="1"/>
      <c r="S39" s="1"/>
      <c r="T39" s="1"/>
      <c r="U39" s="1"/>
      <c r="V39" s="1">
        <f>IF($R39="","",TRIM(MID($R39,FIND(" - ",$R39)+3,LEN($R39))))</f>
      </c>
      <c r="W39" s="1"/>
      <c r="AC39" s="8" t="str">
        <f>IF(AND(Z39&lt;&gt;"",AB39&lt;&gt;""),Z39*AB39,"")</f>
        <v/>
      </c>
      <c r="AG39" s="2"/>
      <c r="AH39" s="3" t="str">
        <f>IF(AG39=18%,ROUND((AA39+AK39)*0.18,2),"")</f>
        <v/>
      </c>
      <c r="AI39" s="3" t="str">
        <f>IF(AG39=25%,ROUND((AA39+AK39)*0.25,2),"")</f>
        <v/>
      </c>
      <c r="AJ39" s="9">
        <f>IF(OR($AA39="",$AB39=""),"",IFERROR($AA39/$AB39,0))</f>
      </c>
      <c r="AK39">
        <f>IF($AA39="","",
IF($S39="","",
IF(ISNUMBER(SEARCH("exempt",LOWER($S39))),0,
$AA39*(VALUE(SUBSTITUTE($S39,"%",""))/100))))</f>
      </c>
      <c r="AR39">
        <f>IF($AA39="","",
SUM($AA39,$AK39,$AO39,$AL39,$AN39,$AM39,$AP39)-
IF($AQ39="",0,VALUE($AQ39)))</f>
      </c>
      <c r="AW39" t="s">
        <v>209</v>
      </c>
      <c r="AY39" t="s">
        <v>210</v>
      </c>
    </row>
    <row r="40" spans="1:51" x14ac:dyDescent="0.25">
      <c r="R40" s="1"/>
      <c r="S40" s="1"/>
      <c r="T40" s="1"/>
      <c r="U40" s="1"/>
      <c r="V40" s="1">
        <f>IF($R40="","",TRIM(MID($R40,FIND(" - ",$R40)+3,LEN($R40))))</f>
      </c>
      <c r="W40" s="1"/>
      <c r="AC40" s="8" t="str">
        <f>IF(AND(Z40&lt;&gt;"",AB40&lt;&gt;""),Z40*AB40,"")</f>
        <v/>
      </c>
      <c r="AG40" s="2"/>
      <c r="AH40" s="3" t="str">
        <f>IF(AG40=18%,ROUND((AA40+AK40)*0.18,2),"")</f>
        <v/>
      </c>
      <c r="AI40" s="3" t="str">
        <f>IF(AG40=25%,ROUND((AA40+AK40)*0.25,2),"")</f>
        <v/>
      </c>
      <c r="AJ40" s="9">
        <f>IF(OR($AA40="",$AB40=""),"",IFERROR($AA40/$AB40,0))</f>
      </c>
      <c r="AK40">
        <f>IF($AA40="","",
IF($S40="","",
IF(ISNUMBER(SEARCH("exempt",LOWER($S40))),0,
$AA40*(VALUE(SUBSTITUTE($S40,"%",""))/100))))</f>
      </c>
      <c r="AR40">
        <f>IF($AA40="","",
SUM($AA40,$AK40,$AO40,$AL40,$AN40,$AM40,$AP40)-
IF($AQ40="",0,VALUE($AQ40)))</f>
      </c>
      <c r="AW40" t="s">
        <v>211</v>
      </c>
      <c r="AY40" t="s">
        <v>212</v>
      </c>
    </row>
    <row r="41" spans="1:51" x14ac:dyDescent="0.25">
      <c r="R41" s="1"/>
      <c r="S41" s="1"/>
      <c r="T41" s="1"/>
      <c r="U41" s="1"/>
      <c r="V41" s="1">
        <f>IF($R41="","",TRIM(MID($R41,FIND(" - ",$R41)+3,LEN($R41))))</f>
      </c>
      <c r="W41" s="1"/>
      <c r="AC41" s="8" t="str">
        <f>IF(AND(Z41&lt;&gt;"",AB41&lt;&gt;""),Z41*AB41,"")</f>
        <v/>
      </c>
      <c r="AG41" s="2"/>
      <c r="AH41" s="3" t="str">
        <f>IF(AG41=18%,ROUND((AA41+AK41)*0.18,2),"")</f>
        <v/>
      </c>
      <c r="AI41" s="3" t="str">
        <f>IF(AG41=25%,ROUND((AA41+AK41)*0.25,2),"")</f>
        <v/>
      </c>
      <c r="AJ41" s="9">
        <f>IF(OR($AA41="",$AB41=""),"",IFERROR($AA41/$AB41,0))</f>
      </c>
      <c r="AK41">
        <f>IF($AA41="","",
IF($S41="","",
IF(ISNUMBER(SEARCH("exempt",LOWER($S41))),0,
$AA41*(VALUE(SUBSTITUTE($S41,"%",""))/100))))</f>
      </c>
      <c r="AR41">
        <f>IF($AA41="","",
SUM($AA41,$AK41,$AO41,$AL41,$AN41,$AM41,$AP41)-
IF($AQ41="",0,VALUE($AQ41)))</f>
      </c>
      <c r="AW41" t="s">
        <v>213</v>
      </c>
      <c r="AY41" t="s">
        <v>214</v>
      </c>
    </row>
    <row r="42" spans="1:51" x14ac:dyDescent="0.25">
      <c r="R42" s="1"/>
      <c r="S42" s="1"/>
      <c r="T42" s="1"/>
      <c r="U42" s="1"/>
      <c r="V42" s="1">
        <f>IF($R42="","",TRIM(MID($R42,FIND(" - ",$R42)+3,LEN($R42))))</f>
      </c>
      <c r="W42" s="1"/>
      <c r="AC42" s="8" t="str">
        <f>IF(AND(Z42&lt;&gt;"",AB42&lt;&gt;""),Z42*AB42,"")</f>
        <v/>
      </c>
      <c r="AG42" s="2"/>
      <c r="AH42" s="3" t="str">
        <f>IF(AG42=18%,ROUND((AA42+AK42)*0.18,2),"")</f>
        <v/>
      </c>
      <c r="AI42" s="3" t="str">
        <f>IF(AG42=25%,ROUND((AA42+AK42)*0.25,2),"")</f>
        <v/>
      </c>
      <c r="AJ42" s="9">
        <f>IF(OR($AA42="",$AB42=""),"",IFERROR($AA42/$AB42,0))</f>
      </c>
      <c r="AK42">
        <f>IF($AA42="","",
IF($S42="","",
IF(ISNUMBER(SEARCH("exempt",LOWER($S42))),0,
$AA42*(VALUE(SUBSTITUTE($S42,"%",""))/100))))</f>
      </c>
      <c r="AR42">
        <f>IF($AA42="","",
SUM($AA42,$AK42,$AO42,$AL42,$AN42,$AM42,$AP42)-
IF($AQ42="",0,VALUE($AQ42)))</f>
      </c>
      <c r="AW42" t="s">
        <v>215</v>
      </c>
      <c r="AY42" t="s">
        <v>216</v>
      </c>
    </row>
    <row r="43" spans="1:51" x14ac:dyDescent="0.25">
      <c r="R43" s="1"/>
      <c r="S43" s="1"/>
      <c r="T43" s="1"/>
      <c r="U43" s="1"/>
      <c r="V43" s="1">
        <f>IF($R43="","",TRIM(MID($R43,FIND(" - ",$R43)+3,LEN($R43))))</f>
      </c>
      <c r="W43" s="1"/>
      <c r="AC43" s="8" t="str">
        <f>IF(AND(Z43&lt;&gt;"",AB43&lt;&gt;""),Z43*AB43,"")</f>
        <v/>
      </c>
      <c r="AG43" s="2"/>
      <c r="AH43" s="3" t="str">
        <f>IF(AG43=18%,ROUND((AA43+AK43)*0.18,2),"")</f>
        <v/>
      </c>
      <c r="AI43" s="3" t="str">
        <f>IF(AG43=25%,ROUND((AA43+AK43)*0.25,2),"")</f>
        <v/>
      </c>
      <c r="AJ43" s="9">
        <f>IF(OR($AA43="",$AB43=""),"",IFERROR($AA43/$AB43,0))</f>
      </c>
      <c r="AK43">
        <f>IF($AA43="","",
IF($S43="","",
IF(ISNUMBER(SEARCH("exempt",LOWER($S43))),0,
$AA43*(VALUE(SUBSTITUTE($S43,"%",""))/100))))</f>
      </c>
      <c r="AR43">
        <f>IF($AA43="","",
SUM($AA43,$AK43,$AO43,$AL43,$AN43,$AM43,$AP43)-
IF($AQ43="",0,VALUE($AQ43)))</f>
      </c>
      <c r="AW43" t="s">
        <v>217</v>
      </c>
      <c r="AY43" t="s">
        <v>218</v>
      </c>
    </row>
    <row r="44" spans="1:51" x14ac:dyDescent="0.25">
      <c r="R44" s="1"/>
      <c r="S44" s="1"/>
      <c r="T44" s="1"/>
      <c r="U44" s="1"/>
      <c r="V44" s="1">
        <f>IF($R44="","",TRIM(MID($R44,FIND(" - ",$R44)+3,LEN($R44))))</f>
      </c>
      <c r="W44" s="1"/>
      <c r="AC44" s="8" t="str">
        <f>IF(AND(Z44&lt;&gt;"",AB44&lt;&gt;""),Z44*AB44,"")</f>
        <v/>
      </c>
      <c r="AG44" s="2"/>
      <c r="AH44" s="3" t="str">
        <f>IF(AG44=18%,ROUND((AA44+AK44)*0.18,2),"")</f>
        <v/>
      </c>
      <c r="AI44" s="3" t="str">
        <f>IF(AG44=25%,ROUND((AA44+AK44)*0.25,2),"")</f>
        <v/>
      </c>
      <c r="AJ44" s="9">
        <f>IF(OR($AA44="",$AB44=""),"",IFERROR($AA44/$AB44,0))</f>
      </c>
      <c r="AK44">
        <f>IF($AA44="","",
IF($S44="","",
IF(ISNUMBER(SEARCH("exempt",LOWER($S44))),0,
$AA44*(VALUE(SUBSTITUTE($S44,"%",""))/100))))</f>
      </c>
      <c r="AR44">
        <f>IF($AA44="","",
SUM($AA44,$AK44,$AO44,$AL44,$AN44,$AM44,$AP44)-
IF($AQ44="",0,VALUE($AQ44)))</f>
      </c>
      <c r="AW44" t="s">
        <v>219</v>
      </c>
      <c r="AY44" t="s">
        <v>220</v>
      </c>
    </row>
    <row r="45" spans="1:51" x14ac:dyDescent="0.25">
      <c r="R45" s="1"/>
      <c r="S45" s="1"/>
      <c r="T45" s="1"/>
      <c r="U45" s="1"/>
      <c r="V45" s="1">
        <f>IF($R45="","",TRIM(MID($R45,FIND(" - ",$R45)+3,LEN($R45))))</f>
      </c>
      <c r="W45" s="1"/>
      <c r="AC45" s="8" t="str">
        <f>IF(AND(Z45&lt;&gt;"",AB45&lt;&gt;""),Z45*AB45,"")</f>
        <v/>
      </c>
      <c r="AG45" s="2"/>
      <c r="AH45" s="3" t="str">
        <f>IF(AG45=18%,ROUND((AA45+AK45)*0.18,2),"")</f>
        <v/>
      </c>
      <c r="AI45" s="3" t="str">
        <f>IF(AG45=25%,ROUND((AA45+AK45)*0.25,2),"")</f>
        <v/>
      </c>
      <c r="AJ45" s="9">
        <f>IF(OR($AA45="",$AB45=""),"",IFERROR($AA45/$AB45,0))</f>
      </c>
      <c r="AK45">
        <f>IF($AA45="","",
IF($S45="","",
IF(ISNUMBER(SEARCH("exempt",LOWER($S45))),0,
$AA45*(VALUE(SUBSTITUTE($S45,"%",""))/100))))</f>
      </c>
      <c r="AR45">
        <f>IF($AA45="","",
SUM($AA45,$AK45,$AO45,$AL45,$AN45,$AM45,$AP45)-
IF($AQ45="",0,VALUE($AQ45)))</f>
      </c>
      <c r="AW45" t="s">
        <v>221</v>
      </c>
      <c r="AY45" t="s">
        <v>222</v>
      </c>
    </row>
    <row r="46" spans="1:51" x14ac:dyDescent="0.25">
      <c r="R46" s="1"/>
      <c r="S46" s="1"/>
      <c r="T46" s="1"/>
      <c r="U46" s="1"/>
      <c r="V46" s="1">
        <f>IF($R46="","",TRIM(MID($R46,FIND(" - ",$R46)+3,LEN($R46))))</f>
      </c>
      <c r="W46" s="1"/>
      <c r="AC46" s="8" t="str">
        <f>IF(AND(Z46&lt;&gt;"",AB46&lt;&gt;""),Z46*AB46,"")</f>
        <v/>
      </c>
      <c r="AG46" s="2"/>
      <c r="AH46" s="3" t="str">
        <f>IF(AG46=18%,ROUND((AA46+AK46)*0.18,2),"")</f>
        <v/>
      </c>
      <c r="AI46" s="3" t="str">
        <f>IF(AG46=25%,ROUND((AA46+AK46)*0.25,2),"")</f>
        <v/>
      </c>
      <c r="AJ46" s="9">
        <f>IF(OR($AA46="",$AB46=""),"",IFERROR($AA46/$AB46,0))</f>
      </c>
      <c r="AK46">
        <f>IF($AA46="","",
IF($S46="","",
IF(ISNUMBER(SEARCH("exempt",LOWER($S46))),0,
$AA46*(VALUE(SUBSTITUTE($S46,"%",""))/100))))</f>
      </c>
      <c r="AR46">
        <f>IF($AA46="","",
SUM($AA46,$AK46,$AO46,$AL46,$AN46,$AM46,$AP46)-
IF($AQ46="",0,VALUE($AQ46)))</f>
      </c>
      <c r="AW46" t="s">
        <v>223</v>
      </c>
      <c r="AY46" t="s">
        <v>224</v>
      </c>
    </row>
    <row r="47" spans="1:51" x14ac:dyDescent="0.25">
      <c r="R47" s="1"/>
      <c r="S47" s="1"/>
      <c r="T47" s="1"/>
      <c r="U47" s="1"/>
      <c r="V47" s="1">
        <f>IF($R47="","",TRIM(MID($R47,FIND(" - ",$R47)+3,LEN($R47))))</f>
      </c>
      <c r="W47" s="1"/>
      <c r="AC47" s="8" t="str">
        <f>IF(AND(Z47&lt;&gt;"",AB47&lt;&gt;""),Z47*AB47,"")</f>
        <v/>
      </c>
      <c r="AG47" s="2"/>
      <c r="AH47" s="3" t="str">
        <f>IF(AG47=18%,ROUND((AA47+AK47)*0.18,2),"")</f>
        <v/>
      </c>
      <c r="AI47" s="3" t="str">
        <f>IF(AG47=25%,ROUND((AA47+AK47)*0.25,2),"")</f>
        <v/>
      </c>
      <c r="AJ47" s="9">
        <f>IF(OR($AA47="",$AB47=""),"",IFERROR($AA47/$AB47,0))</f>
      </c>
      <c r="AK47">
        <f>IF($AA47="","",
IF($S47="","",
IF(ISNUMBER(SEARCH("exempt",LOWER($S47))),0,
$AA47*(VALUE(SUBSTITUTE($S47,"%",""))/100))))</f>
      </c>
      <c r="AR47">
        <f>IF($AA47="","",
SUM($AA47,$AK47,$AO47,$AL47,$AN47,$AM47,$AP47)-
IF($AQ47="",0,VALUE($AQ47)))</f>
      </c>
      <c r="AW47" t="s">
        <v>225</v>
      </c>
      <c r="AY47" t="s">
        <v>226</v>
      </c>
    </row>
    <row r="48" spans="1:51" x14ac:dyDescent="0.25">
      <c r="R48" s="1"/>
      <c r="S48" s="1"/>
      <c r="T48" s="1"/>
      <c r="U48" s="1"/>
      <c r="V48" s="1">
        <f>IF($R48="","",TRIM(MID($R48,FIND(" - ",$R48)+3,LEN($R48))))</f>
      </c>
      <c r="W48" s="1"/>
      <c r="AC48" s="8" t="str">
        <f>IF(AND(Z48&lt;&gt;"",AB48&lt;&gt;""),Z48*AB48,"")</f>
        <v/>
      </c>
      <c r="AG48" s="2"/>
      <c r="AH48" s="3" t="str">
        <f>IF(AG48=18%,ROUND((AA48+AK48)*0.18,2),"")</f>
        <v/>
      </c>
      <c r="AI48" s="3" t="str">
        <f>IF(AG48=25%,ROUND((AA48+AK48)*0.25,2),"")</f>
        <v/>
      </c>
      <c r="AJ48" s="9">
        <f>IF(OR($AA48="",$AB48=""),"",IFERROR($AA48/$AB48,0))</f>
      </c>
      <c r="AK48">
        <f>IF($AA48="","",
IF($S48="","",
IF(ISNUMBER(SEARCH("exempt",LOWER($S48))),0,
$AA48*(VALUE(SUBSTITUTE($S48,"%",""))/100))))</f>
      </c>
      <c r="AR48">
        <f>IF($AA48="","",
SUM($AA48,$AK48,$AO48,$AL48,$AN48,$AM48,$AP48)-
IF($AQ48="",0,VALUE($AQ48)))</f>
      </c>
      <c r="AW48" t="s">
        <v>227</v>
      </c>
      <c r="AY48" t="s">
        <v>228</v>
      </c>
    </row>
    <row r="49" spans="1:51" x14ac:dyDescent="0.25">
      <c r="R49" s="1"/>
      <c r="S49" s="1"/>
      <c r="T49" s="1"/>
      <c r="U49" s="1"/>
      <c r="V49" s="1">
        <f>IF($R49="","",TRIM(MID($R49,FIND(" - ",$R49)+3,LEN($R49))))</f>
      </c>
      <c r="W49" s="1"/>
      <c r="AC49" s="8" t="str">
        <f>IF(AND(Z49&lt;&gt;"",AB49&lt;&gt;""),Z49*AB49,"")</f>
        <v/>
      </c>
      <c r="AG49" s="2"/>
      <c r="AH49" s="3" t="str">
        <f>IF(AG49=18%,ROUND((AA49+AK49)*0.18,2),"")</f>
        <v/>
      </c>
      <c r="AI49" s="3" t="str">
        <f>IF(AG49=25%,ROUND((AA49+AK49)*0.25,2),"")</f>
        <v/>
      </c>
      <c r="AJ49" s="9">
        <f>IF(OR($AA49="",$AB49=""),"",IFERROR($AA49/$AB49,0))</f>
      </c>
      <c r="AK49">
        <f>IF($AA49="","",
IF($S49="","",
IF(ISNUMBER(SEARCH("exempt",LOWER($S49))),0,
$AA49*(VALUE(SUBSTITUTE($S49,"%",""))/100))))</f>
      </c>
      <c r="AR49">
        <f>IF($AA49="","",
SUM($AA49,$AK49,$AO49,$AL49,$AN49,$AM49,$AP49)-
IF($AQ49="",0,VALUE($AQ49)))</f>
      </c>
      <c r="AW49" t="s">
        <v>229</v>
      </c>
      <c r="AY49" t="s">
        <v>230</v>
      </c>
    </row>
    <row r="50" spans="1:51" x14ac:dyDescent="0.25">
      <c r="R50" s="1"/>
      <c r="S50" s="1"/>
      <c r="T50" s="1"/>
      <c r="U50" s="1"/>
      <c r="V50" s="1">
        <f>IF($R50="","",TRIM(MID($R50,FIND(" - ",$R50)+3,LEN($R50))))</f>
      </c>
      <c r="W50" s="1"/>
      <c r="AC50" s="8" t="str">
        <f>IF(AND(Z50&lt;&gt;"",AB50&lt;&gt;""),Z50*AB50,"")</f>
        <v/>
      </c>
      <c r="AG50" s="2"/>
      <c r="AH50" s="3" t="str">
        <f>IF(AG50=18%,ROUND((AA50+AK50)*0.18,2),"")</f>
        <v/>
      </c>
      <c r="AI50" s="3" t="str">
        <f>IF(AG50=25%,ROUND((AA50+AK50)*0.25,2),"")</f>
        <v/>
      </c>
      <c r="AJ50" s="9">
        <f>IF(OR($AA50="",$AB50=""),"",IFERROR($AA50/$AB50,0))</f>
      </c>
      <c r="AK50">
        <f>IF($AA50="","",
IF($S50="","",
IF(ISNUMBER(SEARCH("exempt",LOWER($S50))),0,
$AA50*(VALUE(SUBSTITUTE($S50,"%",""))/100))))</f>
      </c>
      <c r="AR50">
        <f>IF($AA50="","",
SUM($AA50,$AK50,$AO50,$AL50,$AN50,$AM50,$AP50)-
IF($AQ50="",0,VALUE($AQ50)))</f>
      </c>
      <c r="AW50" t="s">
        <v>231</v>
      </c>
      <c r="AY50" t="s">
        <v>232</v>
      </c>
    </row>
    <row r="51" spans="1:51" x14ac:dyDescent="0.25">
      <c r="R51" s="1"/>
      <c r="S51" s="1"/>
      <c r="T51" s="1"/>
      <c r="U51" s="1"/>
      <c r="V51" s="1">
        <f>IF($R51="","",TRIM(MID($R51,FIND(" - ",$R51)+3,LEN($R51))))</f>
      </c>
      <c r="W51" s="1"/>
      <c r="AC51" s="8" t="str">
        <f>IF(AND(Z51&lt;&gt;"",AB51&lt;&gt;""),Z51*AB51,"")</f>
        <v/>
      </c>
      <c r="AG51" s="2"/>
      <c r="AH51" s="3" t="str">
        <f>IF(AG51=18%,ROUND((AA51+AK51)*0.18,2),"")</f>
        <v/>
      </c>
      <c r="AI51" s="3" t="str">
        <f>IF(AG51=25%,ROUND((AA51+AK51)*0.25,2),"")</f>
        <v/>
      </c>
      <c r="AJ51" s="9">
        <f>IF(OR($AA51="",$AB51=""),"",IFERROR($AA51/$AB51,0))</f>
      </c>
      <c r="AK51">
        <f>IF($AA51="","",
IF($S51="","",
IF(ISNUMBER(SEARCH("exempt",LOWER($S51))),0,
$AA51*(VALUE(SUBSTITUTE($S51,"%",""))/100))))</f>
      </c>
      <c r="AR51">
        <f>IF($AA51="","",
SUM($AA51,$AK51,$AO51,$AL51,$AN51,$AM51,$AP51)-
IF($AQ51="",0,VALUE($AQ51)))</f>
      </c>
      <c r="AW51" t="s">
        <v>233</v>
      </c>
      <c r="AY51" t="s">
        <v>234</v>
      </c>
    </row>
    <row r="52" spans="1:51" x14ac:dyDescent="0.25">
      <c r="R52" s="1"/>
      <c r="S52" s="1"/>
      <c r="T52" s="1"/>
      <c r="U52" s="1"/>
      <c r="V52" s="1">
        <f>IF($R52="","",TRIM(MID($R52,FIND(" - ",$R52)+3,LEN($R52))))</f>
      </c>
      <c r="W52" s="1"/>
      <c r="AC52" s="8" t="str">
        <f>IF(AND(Z52&lt;&gt;"",AB52&lt;&gt;""),Z52*AB52,"")</f>
        <v/>
      </c>
      <c r="AG52" s="2"/>
      <c r="AH52" s="3" t="str">
        <f>IF(AG52=18%,ROUND((AA52+AK52)*0.18,2),"")</f>
        <v/>
      </c>
      <c r="AI52" s="3" t="str">
        <f>IF(AG52=25%,ROUND((AA52+AK52)*0.25,2),"")</f>
        <v/>
      </c>
      <c r="AJ52" s="9">
        <f>IF(OR($AA52="",$AB52=""),"",IFERROR($AA52/$AB52,0))</f>
      </c>
      <c r="AK52">
        <f>IF($AA52="","",
IF($S52="","",
IF(ISNUMBER(SEARCH("exempt",LOWER($S52))),0,
$AA52*(VALUE(SUBSTITUTE($S52,"%",""))/100))))</f>
      </c>
      <c r="AR52">
        <f>IF($AA52="","",
SUM($AA52,$AK52,$AO52,$AL52,$AN52,$AM52,$AP52)-
IF($AQ52="",0,VALUE($AQ52)))</f>
      </c>
      <c r="AW52" t="s">
        <v>235</v>
      </c>
      <c r="AY52" t="s">
        <v>236</v>
      </c>
    </row>
    <row r="53" spans="1:51" x14ac:dyDescent="0.25">
      <c r="R53" s="1"/>
      <c r="S53" s="1"/>
      <c r="T53" s="1"/>
      <c r="U53" s="1"/>
      <c r="V53" s="1">
        <f>IF($R53="","",TRIM(MID($R53,FIND(" - ",$R53)+3,LEN($R53))))</f>
      </c>
      <c r="W53" s="1"/>
      <c r="AC53" s="8" t="str">
        <f>IF(AND(Z53&lt;&gt;"",AB53&lt;&gt;""),Z53*AB53,"")</f>
        <v/>
      </c>
      <c r="AG53" s="2"/>
      <c r="AH53" s="3" t="str">
        <f>IF(AG53=18%,ROUND((AA53+AK53)*0.18,2),"")</f>
        <v/>
      </c>
      <c r="AI53" s="3" t="str">
        <f>IF(AG53=25%,ROUND((AA53+AK53)*0.25,2),"")</f>
        <v/>
      </c>
      <c r="AJ53" s="9">
        <f>IF(OR($AA53="",$AB53=""),"",IFERROR($AA53/$AB53,0))</f>
      </c>
      <c r="AK53">
        <f>IF($AA53="","",
IF($S53="","",
IF(ISNUMBER(SEARCH("exempt",LOWER($S53))),0,
$AA53*(VALUE(SUBSTITUTE($S53,"%",""))/100))))</f>
      </c>
      <c r="AR53">
        <f>IF($AA53="","",
SUM($AA53,$AK53,$AO53,$AL53,$AN53,$AM53,$AP53)-
IF($AQ53="",0,VALUE($AQ53)))</f>
      </c>
      <c r="AW53" t="s">
        <v>237</v>
      </c>
      <c r="AY53" t="s">
        <v>238</v>
      </c>
    </row>
    <row r="54" spans="1:51" x14ac:dyDescent="0.25">
      <c r="R54" s="1"/>
      <c r="S54" s="1"/>
      <c r="T54" s="1"/>
      <c r="U54" s="1"/>
      <c r="V54" s="1">
        <f>IF($R54="","",TRIM(MID($R54,FIND(" - ",$R54)+3,LEN($R54))))</f>
      </c>
      <c r="W54" s="1"/>
      <c r="AC54" s="8" t="str">
        <f>IF(AND(Z54&lt;&gt;"",AB54&lt;&gt;""),Z54*AB54,"")</f>
        <v/>
      </c>
      <c r="AG54" s="2"/>
      <c r="AH54" s="3" t="str">
        <f>IF(AG54=18%,ROUND((AA54+AK54)*0.18,2),"")</f>
        <v/>
      </c>
      <c r="AI54" s="3" t="str">
        <f>IF(AG54=25%,ROUND((AA54+AK54)*0.25,2),"")</f>
        <v/>
      </c>
      <c r="AJ54" s="9">
        <f>IF(OR($AA54="",$AB54=""),"",IFERROR($AA54/$AB54,0))</f>
      </c>
      <c r="AK54">
        <f>IF($AA54="","",
IF($S54="","",
IF(ISNUMBER(SEARCH("exempt",LOWER($S54))),0,
$AA54*(VALUE(SUBSTITUTE($S54,"%",""))/100))))</f>
      </c>
      <c r="AR54">
        <f>IF($AA54="","",
SUM($AA54,$AK54,$AO54,$AL54,$AN54,$AM54,$AP54)-
IF($AQ54="",0,VALUE($AQ54)))</f>
      </c>
      <c r="AW54" t="s">
        <v>239</v>
      </c>
      <c r="AY54" t="s">
        <v>240</v>
      </c>
    </row>
    <row r="55" spans="1:51" x14ac:dyDescent="0.25">
      <c r="R55" s="1"/>
      <c r="S55" s="1"/>
      <c r="T55" s="1"/>
      <c r="U55" s="1"/>
      <c r="V55" s="1">
        <f>IF($R55="","",TRIM(MID($R55,FIND(" - ",$R55)+3,LEN($R55))))</f>
      </c>
      <c r="W55" s="1"/>
      <c r="AC55" s="8" t="str">
        <f>IF(AND(Z55&lt;&gt;"",AB55&lt;&gt;""),Z55*AB55,"")</f>
        <v/>
      </c>
      <c r="AG55" s="2"/>
      <c r="AH55" s="3" t="str">
        <f>IF(AG55=18%,ROUND((AA55+AK55)*0.18,2),"")</f>
        <v/>
      </c>
      <c r="AI55" s="3" t="str">
        <f>IF(AG55=25%,ROUND((AA55+AK55)*0.25,2),"")</f>
        <v/>
      </c>
      <c r="AJ55" s="9">
        <f>IF(OR($AA55="",$AB55=""),"",IFERROR($AA55/$AB55,0))</f>
      </c>
      <c r="AK55">
        <f>IF($AA55="","",
IF($S55="","",
IF(ISNUMBER(SEARCH("exempt",LOWER($S55))),0,
$AA55*(VALUE(SUBSTITUTE($S55,"%",""))/100))))</f>
      </c>
      <c r="AR55">
        <f>IF($AA55="","",
SUM($AA55,$AK55,$AO55,$AL55,$AN55,$AM55,$AP55)-
IF($AQ55="",0,VALUE($AQ55)))</f>
      </c>
      <c r="AW55" t="s">
        <v>241</v>
      </c>
      <c r="AY55" t="s">
        <v>242</v>
      </c>
    </row>
    <row r="56" spans="1:51" x14ac:dyDescent="0.25">
      <c r="R56" s="1"/>
      <c r="S56" s="1"/>
      <c r="T56" s="1"/>
      <c r="U56" s="1"/>
      <c r="V56" s="1">
        <f>IF($R56="","",TRIM(MID($R56,FIND(" - ",$R56)+3,LEN($R56))))</f>
      </c>
      <c r="W56" s="1"/>
      <c r="AC56" s="8" t="str">
        <f>IF(AND(Z56&lt;&gt;"",AB56&lt;&gt;""),Z56*AB56,"")</f>
        <v/>
      </c>
      <c r="AG56" s="2"/>
      <c r="AH56" s="3" t="str">
        <f>IF(AG56=18%,ROUND((AA56+AK56)*0.18,2),"")</f>
        <v/>
      </c>
      <c r="AI56" s="3" t="str">
        <f>IF(AG56=25%,ROUND((AA56+AK56)*0.25,2),"")</f>
        <v/>
      </c>
      <c r="AJ56" s="9">
        <f>IF(OR($AA56="",$AB56=""),"",IFERROR($AA56/$AB56,0))</f>
      </c>
      <c r="AK56">
        <f>IF($AA56="","",
IF($S56="","",
IF(ISNUMBER(SEARCH("exempt",LOWER($S56))),0,
$AA56*(VALUE(SUBSTITUTE($S56,"%",""))/100))))</f>
      </c>
      <c r="AR56">
        <f>IF($AA56="","",
SUM($AA56,$AK56,$AO56,$AL56,$AN56,$AM56,$AP56)-
IF($AQ56="",0,VALUE($AQ56)))</f>
      </c>
      <c r="AW56" t="s">
        <v>243</v>
      </c>
      <c r="AY56" t="s">
        <v>244</v>
      </c>
    </row>
    <row r="57" spans="1:51" x14ac:dyDescent="0.25">
      <c r="R57" s="1"/>
      <c r="S57" s="1"/>
      <c r="T57" s="1"/>
      <c r="U57" s="1"/>
      <c r="V57" s="1">
        <f>IF($R57="","",TRIM(MID($R57,FIND(" - ",$R57)+3,LEN($R57))))</f>
      </c>
      <c r="W57" s="1"/>
      <c r="AC57" s="8" t="str">
        <f>IF(AND(Z57&lt;&gt;"",AB57&lt;&gt;""),Z57*AB57,"")</f>
        <v/>
      </c>
      <c r="AG57" s="2"/>
      <c r="AH57" s="3" t="str">
        <f>IF(AG57=18%,ROUND((AA57+AK57)*0.18,2),"")</f>
        <v/>
      </c>
      <c r="AI57" s="3" t="str">
        <f>IF(AG57=25%,ROUND((AA57+AK57)*0.25,2),"")</f>
        <v/>
      </c>
      <c r="AJ57" s="9">
        <f>IF(OR($AA57="",$AB57=""),"",IFERROR($AA57/$AB57,0))</f>
      </c>
      <c r="AK57">
        <f>IF($AA57="","",
IF($S57="","",
IF(ISNUMBER(SEARCH("exempt",LOWER($S57))),0,
$AA57*(VALUE(SUBSTITUTE($S57,"%",""))/100))))</f>
      </c>
      <c r="AR57">
        <f>IF($AA57="","",
SUM($AA57,$AK57,$AO57,$AL57,$AN57,$AM57,$AP57)-
IF($AQ57="",0,VALUE($AQ57)))</f>
      </c>
      <c r="AW57" t="s">
        <v>245</v>
      </c>
      <c r="AY57" t="s">
        <v>246</v>
      </c>
    </row>
    <row r="58" spans="1:51" x14ac:dyDescent="0.25">
      <c r="R58" s="1"/>
      <c r="S58" s="1"/>
      <c r="T58" s="1"/>
      <c r="U58" s="1"/>
      <c r="V58" s="1">
        <f>IF($R58="","",TRIM(MID($R58,FIND(" - ",$R58)+3,LEN($R58))))</f>
      </c>
      <c r="W58" s="1"/>
      <c r="AC58" s="8" t="str">
        <f>IF(AND(Z58&lt;&gt;"",AB58&lt;&gt;""),Z58*AB58,"")</f>
        <v/>
      </c>
      <c r="AG58" s="2"/>
      <c r="AH58" s="3" t="str">
        <f>IF(AG58=18%,ROUND((AA58+AK58)*0.18,2),"")</f>
        <v/>
      </c>
      <c r="AI58" s="3" t="str">
        <f>IF(AG58=25%,ROUND((AA58+AK58)*0.25,2),"")</f>
        <v/>
      </c>
      <c r="AJ58" s="9">
        <f>IF(OR($AA58="",$AB58=""),"",IFERROR($AA58/$AB58,0))</f>
      </c>
      <c r="AK58">
        <f>IF($AA58="","",
IF($S58="","",
IF(ISNUMBER(SEARCH("exempt",LOWER($S58))),0,
$AA58*(VALUE(SUBSTITUTE($S58,"%",""))/100))))</f>
      </c>
      <c r="AR58">
        <f>IF($AA58="","",
SUM($AA58,$AK58,$AO58,$AL58,$AN58,$AM58,$AP58)-
IF($AQ58="",0,VALUE($AQ58)))</f>
      </c>
      <c r="AW58" t="s">
        <v>247</v>
      </c>
      <c r="AY58" t="s">
        <v>248</v>
      </c>
    </row>
    <row r="59" spans="1:51" x14ac:dyDescent="0.25">
      <c r="R59" s="1"/>
      <c r="S59" s="1"/>
      <c r="T59" s="1"/>
      <c r="U59" s="1"/>
      <c r="V59" s="1">
        <f>IF($R59="","",TRIM(MID($R59,FIND(" - ",$R59)+3,LEN($R59))))</f>
      </c>
      <c r="W59" s="1"/>
      <c r="AC59" s="8" t="str">
        <f>IF(AND(Z59&lt;&gt;"",AB59&lt;&gt;""),Z59*AB59,"")</f>
        <v/>
      </c>
      <c r="AG59" s="2"/>
      <c r="AH59" s="3" t="str">
        <f>IF(AG59=18%,ROUND((AA59+AK59)*0.18,2),"")</f>
        <v/>
      </c>
      <c r="AI59" s="3" t="str">
        <f>IF(AG59=25%,ROUND((AA59+AK59)*0.25,2),"")</f>
        <v/>
      </c>
      <c r="AJ59" s="9">
        <f>IF(OR($AA59="",$AB59=""),"",IFERROR($AA59/$AB59,0))</f>
      </c>
      <c r="AK59">
        <f>IF($AA59="","",
IF($S59="","",
IF(ISNUMBER(SEARCH("exempt",LOWER($S59))),0,
$AA59*(VALUE(SUBSTITUTE($S59,"%",""))/100))))</f>
      </c>
      <c r="AR59">
        <f>IF($AA59="","",
SUM($AA59,$AK59,$AO59,$AL59,$AN59,$AM59,$AP59)-
IF($AQ59="",0,VALUE($AQ59)))</f>
      </c>
      <c r="AW59" t="s">
        <v>249</v>
      </c>
      <c r="AY59" t="s">
        <v>250</v>
      </c>
    </row>
    <row r="60" spans="1:51" x14ac:dyDescent="0.25">
      <c r="R60" s="1"/>
      <c r="S60" s="1"/>
      <c r="T60" s="1"/>
      <c r="U60" s="1"/>
      <c r="V60" s="1">
        <f>IF($R60="","",TRIM(MID($R60,FIND(" - ",$R60)+3,LEN($R60))))</f>
      </c>
      <c r="W60" s="1"/>
      <c r="AC60" s="8" t="str">
        <f>IF(AND(Z60&lt;&gt;"",AB60&lt;&gt;""),Z60*AB60,"")</f>
        <v/>
      </c>
      <c r="AG60" s="2"/>
      <c r="AH60" s="3" t="str">
        <f>IF(AG60=18%,ROUND((AA60+AK60)*0.18,2),"")</f>
        <v/>
      </c>
      <c r="AI60" s="3" t="str">
        <f>IF(AG60=25%,ROUND((AA60+AK60)*0.25,2),"")</f>
        <v/>
      </c>
      <c r="AJ60" s="9">
        <f>IF(OR($AA60="",$AB60=""),"",IFERROR($AA60/$AB60,0))</f>
      </c>
      <c r="AK60">
        <f>IF($AA60="","",
IF($S60="","",
IF(ISNUMBER(SEARCH("exempt",LOWER($S60))),0,
$AA60*(VALUE(SUBSTITUTE($S60,"%",""))/100))))</f>
      </c>
      <c r="AR60">
        <f>IF($AA60="","",
SUM($AA60,$AK60,$AO60,$AL60,$AN60,$AM60,$AP60)-
IF($AQ60="",0,VALUE($AQ60)))</f>
      </c>
      <c r="AW60" t="s">
        <v>251</v>
      </c>
      <c r="AY60" t="s">
        <v>252</v>
      </c>
    </row>
    <row r="61" spans="1:51" x14ac:dyDescent="0.25">
      <c r="R61" s="1"/>
      <c r="S61" s="1"/>
      <c r="T61" s="1"/>
      <c r="U61" s="1"/>
      <c r="V61" s="1">
        <f>IF($R61="","",TRIM(MID($R61,FIND(" - ",$R61)+3,LEN($R61))))</f>
      </c>
      <c r="W61" s="1"/>
      <c r="AC61" s="8" t="str">
        <f>IF(AND(Z61&lt;&gt;"",AB61&lt;&gt;""),Z61*AB61,"")</f>
        <v/>
      </c>
      <c r="AG61" s="2"/>
      <c r="AH61" s="3" t="str">
        <f>IF(AG61=18%,ROUND((AA61+AK61)*0.18,2),"")</f>
        <v/>
      </c>
      <c r="AI61" s="3" t="str">
        <f>IF(AG61=25%,ROUND((AA61+AK61)*0.25,2),"")</f>
        <v/>
      </c>
      <c r="AJ61" s="9">
        <f>IF(OR($AA61="",$AB61=""),"",IFERROR($AA61/$AB61,0))</f>
      </c>
      <c r="AK61">
        <f>IF($AA61="","",
IF($S61="","",
IF(ISNUMBER(SEARCH("exempt",LOWER($S61))),0,
$AA61*(VALUE(SUBSTITUTE($S61,"%",""))/100))))</f>
      </c>
      <c r="AR61">
        <f>IF($AA61="","",
SUM($AA61,$AK61,$AO61,$AL61,$AN61,$AM61,$AP61)-
IF($AQ61="",0,VALUE($AQ61)))</f>
      </c>
      <c r="AW61" t="s">
        <v>253</v>
      </c>
      <c r="AY61" t="s">
        <v>254</v>
      </c>
    </row>
    <row r="62" spans="1:51" x14ac:dyDescent="0.25">
      <c r="R62" s="1"/>
      <c r="S62" s="1"/>
      <c r="T62" s="1"/>
      <c r="U62" s="1"/>
      <c r="V62" s="1">
        <f>IF($R62="","",TRIM(MID($R62,FIND(" - ",$R62)+3,LEN($R62))))</f>
      </c>
      <c r="W62" s="1"/>
      <c r="AC62" s="8" t="str">
        <f>IF(AND(Z62&lt;&gt;"",AB62&lt;&gt;""),Z62*AB62,"")</f>
        <v/>
      </c>
      <c r="AG62" s="2"/>
      <c r="AH62" s="3" t="str">
        <f>IF(AG62=18%,ROUND((AA62+AK62)*0.18,2),"")</f>
        <v/>
      </c>
      <c r="AI62" s="3" t="str">
        <f>IF(AG62=25%,ROUND((AA62+AK62)*0.25,2),"")</f>
        <v/>
      </c>
      <c r="AJ62" s="9">
        <f>IF(OR($AA62="",$AB62=""),"",IFERROR($AA62/$AB62,0))</f>
      </c>
      <c r="AK62">
        <f>IF($AA62="","",
IF($S62="","",
IF(ISNUMBER(SEARCH("exempt",LOWER($S62))),0,
$AA62*(VALUE(SUBSTITUTE($S62,"%",""))/100))))</f>
      </c>
      <c r="AR62">
        <f>IF($AA62="","",
SUM($AA62,$AK62,$AO62,$AL62,$AN62,$AM62,$AP62)-
IF($AQ62="",0,VALUE($AQ62)))</f>
      </c>
      <c r="AW62" t="s">
        <v>255</v>
      </c>
      <c r="AY62" t="s">
        <v>256</v>
      </c>
    </row>
    <row r="63" spans="1:51" x14ac:dyDescent="0.25">
      <c r="R63" s="1"/>
      <c r="S63" s="1"/>
      <c r="T63" s="1"/>
      <c r="U63" s="1"/>
      <c r="V63" s="1">
        <f>IF($R63="","",TRIM(MID($R63,FIND(" - ",$R63)+3,LEN($R63))))</f>
      </c>
      <c r="W63" s="1"/>
      <c r="AC63" s="8" t="str">
        <f>IF(AND(Z63&lt;&gt;"",AB63&lt;&gt;""),Z63*AB63,"")</f>
        <v/>
      </c>
      <c r="AG63" s="2"/>
      <c r="AH63" s="3" t="str">
        <f>IF(AG63=18%,ROUND((AA63+AK63)*0.18,2),"")</f>
        <v/>
      </c>
      <c r="AI63" s="3" t="str">
        <f>IF(AG63=25%,ROUND((AA63+AK63)*0.25,2),"")</f>
        <v/>
      </c>
      <c r="AJ63" s="9">
        <f>IF(OR($AA63="",$AB63=""),"",IFERROR($AA63/$AB63,0))</f>
      </c>
      <c r="AK63">
        <f>IF($AA63="","",
IF($S63="","",
IF(ISNUMBER(SEARCH("exempt",LOWER($S63))),0,
$AA63*(VALUE(SUBSTITUTE($S63,"%",""))/100))))</f>
      </c>
      <c r="AR63">
        <f>IF($AA63="","",
SUM($AA63,$AK63,$AO63,$AL63,$AN63,$AM63,$AP63)-
IF($AQ63="",0,VALUE($AQ63)))</f>
      </c>
      <c r="AW63" t="s">
        <v>257</v>
      </c>
      <c r="AY63" t="s">
        <v>258</v>
      </c>
    </row>
    <row r="64" spans="1:51" x14ac:dyDescent="0.25">
      <c r="R64" s="1"/>
      <c r="S64" s="1"/>
      <c r="T64" s="1"/>
      <c r="U64" s="1"/>
      <c r="V64" s="1">
        <f>IF($R64="","",TRIM(MID($R64,FIND(" - ",$R64)+3,LEN($R64))))</f>
      </c>
      <c r="W64" s="1"/>
      <c r="AC64" s="8" t="str">
        <f>IF(AND(Z64&lt;&gt;"",AB64&lt;&gt;""),Z64*AB64,"")</f>
        <v/>
      </c>
      <c r="AG64" s="2"/>
      <c r="AH64" s="3" t="str">
        <f>IF(AG64=18%,ROUND((AA64+AK64)*0.18,2),"")</f>
        <v/>
      </c>
      <c r="AI64" s="3" t="str">
        <f>IF(AG64=25%,ROUND((AA64+AK64)*0.25,2),"")</f>
        <v/>
      </c>
      <c r="AJ64" s="9">
        <f>IF(OR($AA64="",$AB64=""),"",IFERROR($AA64/$AB64,0))</f>
      </c>
      <c r="AK64">
        <f>IF($AA64="","",
IF($S64="","",
IF(ISNUMBER(SEARCH("exempt",LOWER($S64))),0,
$AA64*(VALUE(SUBSTITUTE($S64,"%",""))/100))))</f>
      </c>
      <c r="AR64">
        <f>IF($AA64="","",
SUM($AA64,$AK64,$AO64,$AL64,$AN64,$AM64,$AP64)-
IF($AQ64="",0,VALUE($AQ64)))</f>
      </c>
      <c r="AW64" t="s">
        <v>259</v>
      </c>
      <c r="AY64" t="s">
        <v>260</v>
      </c>
    </row>
    <row r="65" spans="1:51" x14ac:dyDescent="0.25">
      <c r="R65" s="1"/>
      <c r="S65" s="1"/>
      <c r="T65" s="1"/>
      <c r="U65" s="1"/>
      <c r="V65" s="1">
        <f>IF($R65="","",TRIM(MID($R65,FIND(" - ",$R65)+3,LEN($R65))))</f>
      </c>
      <c r="W65" s="1"/>
      <c r="AC65" s="8" t="str">
        <f>IF(AND(Z65&lt;&gt;"",AB65&lt;&gt;""),Z65*AB65,"")</f>
        <v/>
      </c>
      <c r="AG65" s="2"/>
      <c r="AH65" s="3" t="str">
        <f>IF(AG65=18%,ROUND((AA65+AK65)*0.18,2),"")</f>
        <v/>
      </c>
      <c r="AI65" s="3" t="str">
        <f>IF(AG65=25%,ROUND((AA65+AK65)*0.25,2),"")</f>
        <v/>
      </c>
      <c r="AJ65" s="9">
        <f>IF(OR($AA65="",$AB65=""),"",IFERROR($AA65/$AB65,0))</f>
      </c>
      <c r="AK65">
        <f>IF($AA65="","",
IF($S65="","",
IF(ISNUMBER(SEARCH("exempt",LOWER($S65))),0,
$AA65*(VALUE(SUBSTITUTE($S65,"%",""))/100))))</f>
      </c>
      <c r="AR65">
        <f>IF($AA65="","",
SUM($AA65,$AK65,$AO65,$AL65,$AN65,$AM65,$AP65)-
IF($AQ65="",0,VALUE($AQ65)))</f>
      </c>
      <c r="AW65" t="s">
        <v>261</v>
      </c>
      <c r="AY65" t="s">
        <v>262</v>
      </c>
    </row>
    <row r="66" spans="1:51" x14ac:dyDescent="0.25">
      <c r="R66" s="1"/>
      <c r="S66" s="1"/>
      <c r="T66" s="1"/>
      <c r="U66" s="1"/>
      <c r="V66" s="1">
        <f>IF($R66="","",TRIM(MID($R66,FIND(" - ",$R66)+3,LEN($R66))))</f>
      </c>
      <c r="W66" s="1"/>
      <c r="AC66" s="8" t="str">
        <f>IF(AND(Z66&lt;&gt;"",AB66&lt;&gt;""),Z66*AB66,"")</f>
        <v/>
      </c>
      <c r="AG66" s="2"/>
      <c r="AH66" s="3" t="str">
        <f>IF(AG66=18%,ROUND((AA66+AK66)*0.18,2),"")</f>
        <v/>
      </c>
      <c r="AI66" s="3" t="str">
        <f>IF(AG66=25%,ROUND((AA66+AK66)*0.25,2),"")</f>
        <v/>
      </c>
      <c r="AJ66" s="9">
        <f>IF(OR($AA66="",$AB66=""),"",IFERROR($AA66/$AB66,0))</f>
      </c>
      <c r="AK66">
        <f>IF($AA66="","",
IF($S66="","",
IF(ISNUMBER(SEARCH("exempt",LOWER($S66))),0,
$AA66*(VALUE(SUBSTITUTE($S66,"%",""))/100))))</f>
      </c>
      <c r="AR66">
        <f>IF($AA66="","",
SUM($AA66,$AK66,$AO66,$AL66,$AN66,$AM66,$AP66)-
IF($AQ66="",0,VALUE($AQ66)))</f>
      </c>
      <c r="AW66" t="s">
        <v>263</v>
      </c>
      <c r="AY66" t="s">
        <v>264</v>
      </c>
    </row>
    <row r="67" spans="1:51" x14ac:dyDescent="0.25">
      <c r="R67" s="1"/>
      <c r="S67" s="1"/>
      <c r="T67" s="1"/>
      <c r="U67" s="1"/>
      <c r="V67" s="1">
        <f>IF($R67="","",TRIM(MID($R67,FIND(" - ",$R67)+3,LEN($R67))))</f>
      </c>
      <c r="W67" s="1"/>
      <c r="AC67" s="8" t="str">
        <f>IF(AND(Z67&lt;&gt;"",AB67&lt;&gt;""),Z67*AB67,"")</f>
        <v/>
      </c>
      <c r="AG67" s="2"/>
      <c r="AH67" s="3" t="str">
        <f>IF(AG67=18%,ROUND((AA67+AK67)*0.18,2),"")</f>
        <v/>
      </c>
      <c r="AI67" s="3" t="str">
        <f>IF(AG67=25%,ROUND((AA67+AK67)*0.25,2),"")</f>
        <v/>
      </c>
      <c r="AJ67" s="9">
        <f>IF(OR($AA67="",$AB67=""),"",IFERROR($AA67/$AB67,0))</f>
      </c>
      <c r="AK67">
        <f>IF($AA67="","",
IF($S67="","",
IF(ISNUMBER(SEARCH("exempt",LOWER($S67))),0,
$AA67*(VALUE(SUBSTITUTE($S67,"%",""))/100))))</f>
      </c>
      <c r="AR67">
        <f>IF($AA67="","",
SUM($AA67,$AK67,$AO67,$AL67,$AN67,$AM67,$AP67)-
IF($AQ67="",0,VALUE($AQ67)))</f>
      </c>
      <c r="AW67" t="s">
        <v>265</v>
      </c>
      <c r="AY67" t="s">
        <v>266</v>
      </c>
    </row>
    <row r="68" spans="1:51" x14ac:dyDescent="0.25">
      <c r="R68" s="1"/>
      <c r="S68" s="1"/>
      <c r="T68" s="1"/>
      <c r="U68" s="1"/>
      <c r="V68" s="1">
        <f>IF($R68="","",TRIM(MID($R68,FIND(" - ",$R68)+3,LEN($R68))))</f>
      </c>
      <c r="W68" s="1"/>
      <c r="AC68" s="8" t="str">
        <f>IF(AND(Z68&lt;&gt;"",AB68&lt;&gt;""),Z68*AB68,"")</f>
        <v/>
      </c>
      <c r="AG68" s="2"/>
      <c r="AH68" s="3" t="str">
        <f>IF(AG68=18%,ROUND((AA68+AK68)*0.18,2),"")</f>
        <v/>
      </c>
      <c r="AI68" s="3" t="str">
        <f>IF(AG68=25%,ROUND((AA68+AK68)*0.25,2),"")</f>
        <v/>
      </c>
      <c r="AJ68" s="9">
        <f>IF(OR($AA68="",$AB68=""),"",IFERROR($AA68/$AB68,0))</f>
      </c>
      <c r="AK68">
        <f>IF($AA68="","",
IF($S68="","",
IF(ISNUMBER(SEARCH("exempt",LOWER($S68))),0,
$AA68*(VALUE(SUBSTITUTE($S68,"%",""))/100))))</f>
      </c>
      <c r="AR68">
        <f>IF($AA68="","",
SUM($AA68,$AK68,$AO68,$AL68,$AN68,$AM68,$AP68)-
IF($AQ68="",0,VALUE($AQ68)))</f>
      </c>
      <c r="AY68" t="s">
        <v>267</v>
      </c>
    </row>
    <row r="69" spans="1:51" x14ac:dyDescent="0.25">
      <c r="R69" s="1"/>
      <c r="S69" s="1"/>
      <c r="T69" s="1"/>
      <c r="U69" s="1"/>
      <c r="V69" s="1">
        <f>IF($R69="","",TRIM(MID($R69,FIND(" - ",$R69)+3,LEN($R69))))</f>
      </c>
      <c r="W69" s="1"/>
      <c r="AC69" s="8" t="str">
        <f>IF(AND(Z69&lt;&gt;"",AB69&lt;&gt;""),Z69*AB69,"")</f>
        <v/>
      </c>
      <c r="AG69" s="2"/>
      <c r="AH69" s="3" t="str">
        <f>IF(AG69=18%,ROUND((AA69+AK69)*0.18,2),"")</f>
        <v/>
      </c>
      <c r="AI69" s="3" t="str">
        <f>IF(AG69=25%,ROUND((AA69+AK69)*0.25,2),"")</f>
        <v/>
      </c>
      <c r="AJ69" s="9">
        <f>IF(OR($AA69="",$AB69=""),"",IFERROR($AA69/$AB69,0))</f>
      </c>
      <c r="AK69">
        <f>IF($AA69="","",
IF($S69="","",
IF(ISNUMBER(SEARCH("exempt",LOWER($S69))),0,
$AA69*(VALUE(SUBSTITUTE($S69,"%",""))/100))))</f>
      </c>
      <c r="AR69">
        <f>IF($AA69="","",
SUM($AA69,$AK69,$AO69,$AL69,$AN69,$AM69,$AP69)-
IF($AQ69="",0,VALUE($AQ69)))</f>
      </c>
      <c r="AY69" t="s">
        <v>268</v>
      </c>
    </row>
    <row r="70" spans="1:51" x14ac:dyDescent="0.25">
      <c r="R70" s="1"/>
      <c r="S70" s="1"/>
      <c r="T70" s="1"/>
      <c r="U70" s="1"/>
      <c r="V70" s="1">
        <f>IF($R70="","",TRIM(MID($R70,FIND(" - ",$R70)+3,LEN($R70))))</f>
      </c>
      <c r="W70" s="1"/>
      <c r="AC70" s="8" t="str">
        <f>IF(AND(Z70&lt;&gt;"",AB70&lt;&gt;""),Z70*AB70,"")</f>
        <v/>
      </c>
      <c r="AG70" s="2"/>
      <c r="AH70" s="3" t="str">
        <f>IF(AG70=18%,ROUND((AA70+AK70)*0.18,2),"")</f>
        <v/>
      </c>
      <c r="AI70" s="3" t="str">
        <f>IF(AG70=25%,ROUND((AA70+AK70)*0.25,2),"")</f>
        <v/>
      </c>
      <c r="AJ70" s="9">
        <f>IF(OR($AA70="",$AB70=""),"",IFERROR($AA70/$AB70,0))</f>
      </c>
      <c r="AK70">
        <f>IF($AA70="","",
IF($S70="","",
IF(ISNUMBER(SEARCH("exempt",LOWER($S70))),0,
$AA70*(VALUE(SUBSTITUTE($S70,"%",""))/100))))</f>
      </c>
      <c r="AR70">
        <f>IF($AA70="","",
SUM($AA70,$AK70,$AO70,$AL70,$AN70,$AM70,$AP70)-
IF($AQ70="",0,VALUE($AQ70)))</f>
      </c>
      <c r="AY70" t="s">
        <v>269</v>
      </c>
    </row>
    <row r="71" spans="1:51" x14ac:dyDescent="0.25">
      <c r="R71" s="1"/>
      <c r="S71" s="1"/>
      <c r="T71" s="1"/>
      <c r="U71" s="1"/>
      <c r="V71" s="1">
        <f>IF($R71="","",TRIM(MID($R71,FIND(" - ",$R71)+3,LEN($R71))))</f>
      </c>
      <c r="W71" s="1"/>
      <c r="AC71" s="8" t="str">
        <f>IF(AND(Z71&lt;&gt;"",AB71&lt;&gt;""),Z71*AB71,"")</f>
        <v/>
      </c>
      <c r="AG71" s="2"/>
      <c r="AH71" s="3" t="str">
        <f>IF(AG71=18%,ROUND((AA71+AK71)*0.18,2),"")</f>
        <v/>
      </c>
      <c r="AI71" s="3" t="str">
        <f>IF(AG71=25%,ROUND((AA71+AK71)*0.25,2),"")</f>
        <v/>
      </c>
      <c r="AJ71" s="9">
        <f>IF(OR($AA71="",$AB71=""),"",IFERROR($AA71/$AB71,0))</f>
      </c>
      <c r="AK71">
        <f>IF($AA71="","",
IF($S71="","",
IF(ISNUMBER(SEARCH("exempt",LOWER($S71))),0,
$AA71*(VALUE(SUBSTITUTE($S71,"%",""))/100))))</f>
      </c>
      <c r="AR71">
        <f>IF($AA71="","",
SUM($AA71,$AK71,$AO71,$AL71,$AN71,$AM71,$AP71)-
IF($AQ71="",0,VALUE($AQ71)))</f>
      </c>
      <c r="AY71" t="s">
        <v>270</v>
      </c>
    </row>
    <row r="72" spans="1:51" x14ac:dyDescent="0.25">
      <c r="R72" s="1"/>
      <c r="S72" s="1"/>
      <c r="T72" s="1"/>
      <c r="U72" s="1"/>
      <c r="V72" s="1">
        <f>IF($R72="","",TRIM(MID($R72,FIND(" - ",$R72)+3,LEN($R72))))</f>
      </c>
      <c r="W72" s="1"/>
      <c r="AC72" s="8" t="str">
        <f>IF(AND(Z72&lt;&gt;"",AB72&lt;&gt;""),Z72*AB72,"")</f>
        <v/>
      </c>
      <c r="AG72" s="2"/>
      <c r="AH72" s="3" t="str">
        <f>IF(AG72=18%,ROUND((AA72+AK72)*0.18,2),"")</f>
        <v/>
      </c>
      <c r="AI72" s="3" t="str">
        <f>IF(AG72=25%,ROUND((AA72+AK72)*0.25,2),"")</f>
        <v/>
      </c>
      <c r="AJ72" s="9">
        <f>IF(OR($AA72="",$AB72=""),"",IFERROR($AA72/$AB72,0))</f>
      </c>
      <c r="AK72">
        <f>IF($AA72="","",
IF($S72="","",
IF(ISNUMBER(SEARCH("exempt",LOWER($S72))),0,
$AA72*(VALUE(SUBSTITUTE($S72,"%",""))/100))))</f>
      </c>
      <c r="AR72">
        <f>IF($AA72="","",
SUM($AA72,$AK72,$AO72,$AL72,$AN72,$AM72,$AP72)-
IF($AQ72="",0,VALUE($AQ72)))</f>
      </c>
      <c r="AY72" t="s">
        <v>271</v>
      </c>
    </row>
    <row r="73" spans="1:51" x14ac:dyDescent="0.25">
      <c r="R73" s="1"/>
      <c r="S73" s="1"/>
      <c r="T73" s="1"/>
      <c r="U73" s="1"/>
      <c r="V73" s="1">
        <f>IF($R73="","",TRIM(MID($R73,FIND(" - ",$R73)+3,LEN($R73))))</f>
      </c>
      <c r="W73" s="1"/>
      <c r="AC73" s="8" t="str">
        <f>IF(AND(Z73&lt;&gt;"",AB73&lt;&gt;""),Z73*AB73,"")</f>
        <v/>
      </c>
      <c r="AG73" s="2"/>
      <c r="AH73" s="3" t="str">
        <f>IF(AG73=18%,ROUND((AA73+AK73)*0.18,2),"")</f>
        <v/>
      </c>
      <c r="AI73" s="3" t="str">
        <f>IF(AG73=25%,ROUND((AA73+AK73)*0.25,2),"")</f>
        <v/>
      </c>
      <c r="AJ73" s="9">
        <f>IF(OR($AA73="",$AB73=""),"",IFERROR($AA73/$AB73,0))</f>
      </c>
      <c r="AK73">
        <f>IF($AA73="","",
IF($S73="","",
IF(ISNUMBER(SEARCH("exempt",LOWER($S73))),0,
$AA73*(VALUE(SUBSTITUTE($S73,"%",""))/100))))</f>
      </c>
      <c r="AR73">
        <f>IF($AA73="","",
SUM($AA73,$AK73,$AO73,$AL73,$AN73,$AM73,$AP73)-
IF($AQ73="",0,VALUE($AQ73)))</f>
      </c>
      <c r="AY73" t="s">
        <v>272</v>
      </c>
    </row>
    <row r="74" spans="1:51" x14ac:dyDescent="0.25">
      <c r="R74" s="1"/>
      <c r="S74" s="1"/>
      <c r="T74" s="1"/>
      <c r="U74" s="1"/>
      <c r="V74" s="1">
        <f>IF($R74="","",TRIM(MID($R74,FIND(" - ",$R74)+3,LEN($R74))))</f>
      </c>
      <c r="W74" s="1"/>
      <c r="AC74" s="8" t="str">
        <f>IF(AND(Z74&lt;&gt;"",AB74&lt;&gt;""),Z74*AB74,"")</f>
        <v/>
      </c>
      <c r="AG74" s="2"/>
      <c r="AH74" s="3" t="str">
        <f>IF(AG74=18%,ROUND((AA74+AK74)*0.18,2),"")</f>
        <v/>
      </c>
      <c r="AI74" s="3" t="str">
        <f>IF(AG74=25%,ROUND((AA74+AK74)*0.25,2),"")</f>
        <v/>
      </c>
      <c r="AJ74" s="9">
        <f>IF(OR($AA74="",$AB74=""),"",IFERROR($AA74/$AB74,0))</f>
      </c>
      <c r="AK74">
        <f>IF($AA74="","",
IF($S74="","",
IF(ISNUMBER(SEARCH("exempt",LOWER($S74))),0,
$AA74*(VALUE(SUBSTITUTE($S74,"%",""))/100))))</f>
      </c>
      <c r="AR74">
        <f>IF($AA74="","",
SUM($AA74,$AK74,$AO74,$AL74,$AN74,$AM74,$AP74)-
IF($AQ74="",0,VALUE($AQ74)))</f>
      </c>
      <c r="AY74" t="s">
        <v>273</v>
      </c>
    </row>
    <row r="75" spans="1:51" x14ac:dyDescent="0.25">
      <c r="R75" s="1"/>
      <c r="S75" s="1"/>
      <c r="T75" s="1"/>
      <c r="U75" s="1"/>
      <c r="V75" s="1">
        <f>IF($R75="","",TRIM(MID($R75,FIND(" - ",$R75)+3,LEN($R75))))</f>
      </c>
      <c r="W75" s="1"/>
      <c r="AC75" s="8" t="str">
        <f>IF(AND(Z75&lt;&gt;"",AB75&lt;&gt;""),Z75*AB75,"")</f>
        <v/>
      </c>
      <c r="AG75" s="2"/>
      <c r="AH75" s="3" t="str">
        <f>IF(AG75=18%,ROUND((AA75+AK75)*0.18,2),"")</f>
        <v/>
      </c>
      <c r="AI75" s="3" t="str">
        <f>IF(AG75=25%,ROUND((AA75+AK75)*0.25,2),"")</f>
        <v/>
      </c>
      <c r="AJ75" s="9">
        <f>IF(OR($AA75="",$AB75=""),"",IFERROR($AA75/$AB75,0))</f>
      </c>
      <c r="AK75">
        <f>IF($AA75="","",
IF($S75="","",
IF(ISNUMBER(SEARCH("exempt",LOWER($S75))),0,
$AA75*(VALUE(SUBSTITUTE($S75,"%",""))/100))))</f>
      </c>
      <c r="AR75">
        <f>IF($AA75="","",
SUM($AA75,$AK75,$AO75,$AL75,$AN75,$AM75,$AP75)-
IF($AQ75="",0,VALUE($AQ75)))</f>
      </c>
      <c r="AY75" t="s">
        <v>274</v>
      </c>
    </row>
    <row r="76" spans="1:51" x14ac:dyDescent="0.25">
      <c r="R76" s="1"/>
      <c r="S76" s="1"/>
      <c r="T76" s="1"/>
      <c r="U76" s="1"/>
      <c r="V76" s="1">
        <f>IF($R76="","",TRIM(MID($R76,FIND(" - ",$R76)+3,LEN($R76))))</f>
      </c>
      <c r="W76" s="1"/>
      <c r="AC76" s="8" t="str">
        <f>IF(AND(Z76&lt;&gt;"",AB76&lt;&gt;""),Z76*AB76,"")</f>
        <v/>
      </c>
      <c r="AG76" s="2"/>
      <c r="AH76" s="3" t="str">
        <f>IF(AG76=18%,ROUND((AA76+AK76)*0.18,2),"")</f>
        <v/>
      </c>
      <c r="AI76" s="3" t="str">
        <f>IF(AG76=25%,ROUND((AA76+AK76)*0.25,2),"")</f>
        <v/>
      </c>
      <c r="AJ76" s="9">
        <f>IF(OR($AA76="",$AB76=""),"",IFERROR($AA76/$AB76,0))</f>
      </c>
      <c r="AK76">
        <f>IF($AA76="","",
IF($S76="","",
IF(ISNUMBER(SEARCH("exempt",LOWER($S76))),0,
$AA76*(VALUE(SUBSTITUTE($S76,"%",""))/100))))</f>
      </c>
      <c r="AR76">
        <f>IF($AA76="","",
SUM($AA76,$AK76,$AO76,$AL76,$AN76,$AM76,$AP76)-
IF($AQ76="",0,VALUE($AQ76)))</f>
      </c>
      <c r="AY76" t="s">
        <v>275</v>
      </c>
    </row>
    <row r="77" spans="1:51" x14ac:dyDescent="0.25">
      <c r="R77" s="1"/>
      <c r="S77" s="1"/>
      <c r="T77" s="1"/>
      <c r="U77" s="1"/>
      <c r="V77" s="1">
        <f>IF($R77="","",TRIM(MID($R77,FIND(" - ",$R77)+3,LEN($R77))))</f>
      </c>
      <c r="W77" s="1"/>
      <c r="AC77" s="8" t="str">
        <f>IF(AND(Z77&lt;&gt;"",AB77&lt;&gt;""),Z77*AB77,"")</f>
        <v/>
      </c>
      <c r="AG77" s="2"/>
      <c r="AH77" s="3" t="str">
        <f>IF(AG77=18%,ROUND((AA77+AK77)*0.18,2),"")</f>
        <v/>
      </c>
      <c r="AI77" s="3" t="str">
        <f>IF(AG77=25%,ROUND((AA77+AK77)*0.25,2),"")</f>
        <v/>
      </c>
      <c r="AJ77" s="9">
        <f>IF(OR($AA77="",$AB77=""),"",IFERROR($AA77/$AB77,0))</f>
      </c>
      <c r="AK77">
        <f>IF($AA77="","",
IF($S77="","",
IF(ISNUMBER(SEARCH("exempt",LOWER($S77))),0,
$AA77*(VALUE(SUBSTITUTE($S77,"%",""))/100))))</f>
      </c>
      <c r="AR77">
        <f>IF($AA77="","",
SUM($AA77,$AK77,$AO77,$AL77,$AN77,$AM77,$AP77)-
IF($AQ77="",0,VALUE($AQ77)))</f>
      </c>
      <c r="AY77" t="s">
        <v>276</v>
      </c>
    </row>
    <row r="78" spans="1:51" x14ac:dyDescent="0.25">
      <c r="R78" s="1"/>
      <c r="S78" s="1"/>
      <c r="T78" s="1"/>
      <c r="U78" s="1"/>
      <c r="V78" s="1">
        <f>IF($R78="","",TRIM(MID($R78,FIND(" - ",$R78)+3,LEN($R78))))</f>
      </c>
      <c r="W78" s="1"/>
      <c r="AC78" s="8" t="str">
        <f>IF(AND(Z78&lt;&gt;"",AB78&lt;&gt;""),Z78*AB78,"")</f>
        <v/>
      </c>
      <c r="AG78" s="2"/>
      <c r="AH78" s="3" t="str">
        <f>IF(AG78=18%,ROUND((AA78+AK78)*0.18,2),"")</f>
        <v/>
      </c>
      <c r="AI78" s="3" t="str">
        <f>IF(AG78=25%,ROUND((AA78+AK78)*0.25,2),"")</f>
        <v/>
      </c>
      <c r="AJ78" s="9">
        <f>IF(OR($AA78="",$AB78=""),"",IFERROR($AA78/$AB78,0))</f>
      </c>
      <c r="AK78">
        <f>IF($AA78="","",
IF($S78="","",
IF(ISNUMBER(SEARCH("exempt",LOWER($S78))),0,
$AA78*(VALUE(SUBSTITUTE($S78,"%",""))/100))))</f>
      </c>
      <c r="AR78">
        <f>IF($AA78="","",
SUM($AA78,$AK78,$AO78,$AL78,$AN78,$AM78,$AP78)-
IF($AQ78="",0,VALUE($AQ78)))</f>
      </c>
      <c r="AY78" t="s">
        <v>277</v>
      </c>
    </row>
    <row r="79" spans="1:51" x14ac:dyDescent="0.25">
      <c r="R79" s="1"/>
      <c r="S79" s="1"/>
      <c r="T79" s="1"/>
      <c r="U79" s="1"/>
      <c r="V79" s="1">
        <f>IF($R79="","",TRIM(MID($R79,FIND(" - ",$R79)+3,LEN($R79))))</f>
      </c>
      <c r="W79" s="1"/>
      <c r="AC79" s="8" t="str">
        <f>IF(AND(Z79&lt;&gt;"",AB79&lt;&gt;""),Z79*AB79,"")</f>
        <v/>
      </c>
      <c r="AG79" s="2"/>
      <c r="AH79" s="3" t="str">
        <f>IF(AG79=18%,ROUND((AA79+AK79)*0.18,2),"")</f>
        <v/>
      </c>
      <c r="AI79" s="3" t="str">
        <f>IF(AG79=25%,ROUND((AA79+AK79)*0.25,2),"")</f>
        <v/>
      </c>
      <c r="AJ79" s="9">
        <f>IF(OR($AA79="",$AB79=""),"",IFERROR($AA79/$AB79,0))</f>
      </c>
      <c r="AK79">
        <f>IF($AA79="","",
IF($S79="","",
IF(ISNUMBER(SEARCH("exempt",LOWER($S79))),0,
$AA79*(VALUE(SUBSTITUTE($S79,"%",""))/100))))</f>
      </c>
      <c r="AR79">
        <f>IF($AA79="","",
SUM($AA79,$AK79,$AO79,$AL79,$AN79,$AM79,$AP79)-
IF($AQ79="",0,VALUE($AQ79)))</f>
      </c>
      <c r="AY79" t="s">
        <v>278</v>
      </c>
    </row>
    <row r="80" spans="1:51" x14ac:dyDescent="0.25">
      <c r="R80" s="1"/>
      <c r="S80" s="1"/>
      <c r="T80" s="1"/>
      <c r="U80" s="1"/>
      <c r="V80" s="1">
        <f>IF($R80="","",TRIM(MID($R80,FIND(" - ",$R80)+3,LEN($R80))))</f>
      </c>
      <c r="W80" s="1"/>
      <c r="AC80" s="8" t="str">
        <f>IF(AND(Z80&lt;&gt;"",AB80&lt;&gt;""),Z80*AB80,"")</f>
        <v/>
      </c>
      <c r="AG80" s="2"/>
      <c r="AH80" s="3" t="str">
        <f>IF(AG80=18%,ROUND((AA80+AK80)*0.18,2),"")</f>
        <v/>
      </c>
      <c r="AI80" s="3" t="str">
        <f>IF(AG80=25%,ROUND((AA80+AK80)*0.25,2),"")</f>
        <v/>
      </c>
      <c r="AJ80" s="9">
        <f>IF(OR($AA80="",$AB80=""),"",IFERROR($AA80/$AB80,0))</f>
      </c>
      <c r="AK80">
        <f>IF($AA80="","",
IF($S80="","",
IF(ISNUMBER(SEARCH("exempt",LOWER($S80))),0,
$AA80*(VALUE(SUBSTITUTE($S80,"%",""))/100))))</f>
      </c>
      <c r="AR80">
        <f>IF($AA80="","",
SUM($AA80,$AK80,$AO80,$AL80,$AN80,$AM80,$AP80)-
IF($AQ80="",0,VALUE($AQ80)))</f>
      </c>
      <c r="AY80" t="s">
        <v>279</v>
      </c>
    </row>
    <row r="81" spans="1:51" x14ac:dyDescent="0.25">
      <c r="R81" s="1"/>
      <c r="S81" s="1"/>
      <c r="T81" s="1"/>
      <c r="U81" s="1"/>
      <c r="V81" s="1">
        <f>IF($R81="","",TRIM(MID($R81,FIND(" - ",$R81)+3,LEN($R81))))</f>
      </c>
      <c r="W81" s="1"/>
      <c r="AC81" s="8" t="str">
        <f>IF(AND(Z81&lt;&gt;"",AB81&lt;&gt;""),Z81*AB81,"")</f>
        <v/>
      </c>
      <c r="AG81" s="2"/>
      <c r="AH81" s="3" t="str">
        <f>IF(AG81=18%,ROUND((AA81+AK81)*0.18,2),"")</f>
        <v/>
      </c>
      <c r="AI81" s="3" t="str">
        <f>IF(AG81=25%,ROUND((AA81+AK81)*0.25,2),"")</f>
        <v/>
      </c>
      <c r="AJ81" s="9">
        <f>IF(OR($AA81="",$AB81=""),"",IFERROR($AA81/$AB81,0))</f>
      </c>
      <c r="AK81">
        <f>IF($AA81="","",
IF($S81="","",
IF(ISNUMBER(SEARCH("exempt",LOWER($S81))),0,
$AA81*(VALUE(SUBSTITUTE($S81,"%",""))/100))))</f>
      </c>
      <c r="AR81">
        <f>IF($AA81="","",
SUM($AA81,$AK81,$AO81,$AL81,$AN81,$AM81,$AP81)-
IF($AQ81="",0,VALUE($AQ81)))</f>
      </c>
      <c r="AY81" t="s">
        <v>280</v>
      </c>
    </row>
    <row r="82" spans="1:51" x14ac:dyDescent="0.25">
      <c r="R82" s="1"/>
      <c r="S82" s="1"/>
      <c r="T82" s="1"/>
      <c r="U82" s="1"/>
      <c r="V82" s="1">
        <f>IF($R82="","",TRIM(MID($R82,FIND(" - ",$R82)+3,LEN($R82))))</f>
      </c>
      <c r="W82" s="1"/>
      <c r="AC82" s="8" t="str">
        <f>IF(AND(Z82&lt;&gt;"",AB82&lt;&gt;""),Z82*AB82,"")</f>
        <v/>
      </c>
      <c r="AG82" s="2"/>
      <c r="AH82" s="3" t="str">
        <f>IF(AG82=18%,ROUND((AA82+AK82)*0.18,2),"")</f>
        <v/>
      </c>
      <c r="AI82" s="3" t="str">
        <f>IF(AG82=25%,ROUND((AA82+AK82)*0.25,2),"")</f>
        <v/>
      </c>
      <c r="AJ82" s="9">
        <f>IF(OR($AA82="",$AB82=""),"",IFERROR($AA82/$AB82,0))</f>
      </c>
      <c r="AK82">
        <f>IF($AA82="","",
IF($S82="","",
IF(ISNUMBER(SEARCH("exempt",LOWER($S82))),0,
$AA82*(VALUE(SUBSTITUTE($S82,"%",""))/100))))</f>
      </c>
      <c r="AR82">
        <f>IF($AA82="","",
SUM($AA82,$AK82,$AO82,$AL82,$AN82,$AM82,$AP82)-
IF($AQ82="",0,VALUE($AQ82)))</f>
      </c>
      <c r="AY82" t="s">
        <v>281</v>
      </c>
    </row>
    <row r="83" spans="1:51" x14ac:dyDescent="0.25">
      <c r="R83" s="1"/>
      <c r="S83" s="1"/>
      <c r="T83" s="1"/>
      <c r="U83" s="1"/>
      <c r="V83" s="1">
        <f>IF($R83="","",TRIM(MID($R83,FIND(" - ",$R83)+3,LEN($R83))))</f>
      </c>
      <c r="W83" s="1"/>
      <c r="AC83" s="8" t="str">
        <f>IF(AND(Z83&lt;&gt;"",AB83&lt;&gt;""),Z83*AB83,"")</f>
        <v/>
      </c>
      <c r="AG83" s="2"/>
      <c r="AH83" s="3" t="str">
        <f>IF(AG83=18%,ROUND((AA83+AK83)*0.18,2),"")</f>
        <v/>
      </c>
      <c r="AI83" s="3" t="str">
        <f>IF(AG83=25%,ROUND((AA83+AK83)*0.25,2),"")</f>
        <v/>
      </c>
      <c r="AJ83" s="9">
        <f>IF(OR($AA83="",$AB83=""),"",IFERROR($AA83/$AB83,0))</f>
      </c>
      <c r="AK83">
        <f>IF($AA83="","",
IF($S83="","",
IF(ISNUMBER(SEARCH("exempt",LOWER($S83))),0,
$AA83*(VALUE(SUBSTITUTE($S83,"%",""))/100))))</f>
      </c>
      <c r="AR83">
        <f>IF($AA83="","",
SUM($AA83,$AK83,$AO83,$AL83,$AN83,$AM83,$AP83)-
IF($AQ83="",0,VALUE($AQ83)))</f>
      </c>
      <c r="AY83" t="s">
        <v>282</v>
      </c>
    </row>
    <row r="84" spans="1:51" x14ac:dyDescent="0.25">
      <c r="R84" s="1"/>
      <c r="S84" s="1"/>
      <c r="T84" s="1"/>
      <c r="U84" s="1"/>
      <c r="V84" s="1">
        <f>IF($R84="","",TRIM(MID($R84,FIND(" - ",$R84)+3,LEN($R84))))</f>
      </c>
      <c r="W84" s="1"/>
      <c r="AC84" s="8" t="str">
        <f>IF(AND(Z84&lt;&gt;"",AB84&lt;&gt;""),Z84*AB84,"")</f>
        <v/>
      </c>
      <c r="AG84" s="2"/>
      <c r="AH84" s="3" t="str">
        <f>IF(AG84=18%,ROUND((AA84+AK84)*0.18,2),"")</f>
        <v/>
      </c>
      <c r="AI84" s="3" t="str">
        <f>IF(AG84=25%,ROUND((AA84+AK84)*0.25,2),"")</f>
        <v/>
      </c>
      <c r="AJ84" s="9">
        <f>IF(OR($AA84="",$AB84=""),"",IFERROR($AA84/$AB84,0))</f>
      </c>
      <c r="AK84">
        <f>IF($AA84="","",
IF($S84="","",
IF(ISNUMBER(SEARCH("exempt",LOWER($S84))),0,
$AA84*(VALUE(SUBSTITUTE($S84,"%",""))/100))))</f>
      </c>
      <c r="AR84">
        <f>IF($AA84="","",
SUM($AA84,$AK84,$AO84,$AL84,$AN84,$AM84,$AP84)-
IF($AQ84="",0,VALUE($AQ84)))</f>
      </c>
      <c r="AY84" t="s">
        <v>283</v>
      </c>
    </row>
    <row r="85" spans="1:51" x14ac:dyDescent="0.25">
      <c r="R85" s="1"/>
      <c r="S85" s="1"/>
      <c r="T85" s="1"/>
      <c r="U85" s="1"/>
      <c r="V85" s="1">
        <f>IF($R85="","",TRIM(MID($R85,FIND(" - ",$R85)+3,LEN($R85))))</f>
      </c>
      <c r="W85" s="1"/>
      <c r="AC85" s="8" t="str">
        <f>IF(AND(Z85&lt;&gt;"",AB85&lt;&gt;""),Z85*AB85,"")</f>
        <v/>
      </c>
      <c r="AG85" s="2"/>
      <c r="AH85" s="3" t="str">
        <f>IF(AG85=18%,ROUND((AA85+AK85)*0.18,2),"")</f>
        <v/>
      </c>
      <c r="AI85" s="3" t="str">
        <f>IF(AG85=25%,ROUND((AA85+AK85)*0.25,2),"")</f>
        <v/>
      </c>
      <c r="AJ85" s="9">
        <f>IF(OR($AA85="",$AB85=""),"",IFERROR($AA85/$AB85,0))</f>
      </c>
      <c r="AK85">
        <f>IF($AA85="","",
IF($S85="","",
IF(ISNUMBER(SEARCH("exempt",LOWER($S85))),0,
$AA85*(VALUE(SUBSTITUTE($S85,"%",""))/100))))</f>
      </c>
      <c r="AR85">
        <f>IF($AA85="","",
SUM($AA85,$AK85,$AO85,$AL85,$AN85,$AM85,$AP85)-
IF($AQ85="",0,VALUE($AQ85)))</f>
      </c>
      <c r="AY85" t="s">
        <v>284</v>
      </c>
    </row>
    <row r="86" spans="1:51" x14ac:dyDescent="0.25">
      <c r="R86" s="1"/>
      <c r="S86" s="1"/>
      <c r="T86" s="1"/>
      <c r="U86" s="1"/>
      <c r="V86" s="1">
        <f>IF($R86="","",TRIM(MID($R86,FIND(" - ",$R86)+3,LEN($R86))))</f>
      </c>
      <c r="W86" s="1"/>
      <c r="AC86" s="8" t="str">
        <f>IF(AND(Z86&lt;&gt;"",AB86&lt;&gt;""),Z86*AB86,"")</f>
        <v/>
      </c>
      <c r="AG86" s="2"/>
      <c r="AH86" s="3" t="str">
        <f>IF(AG86=18%,ROUND((AA86+AK86)*0.18,2),"")</f>
        <v/>
      </c>
      <c r="AI86" s="3" t="str">
        <f>IF(AG86=25%,ROUND((AA86+AK86)*0.25,2),"")</f>
        <v/>
      </c>
      <c r="AJ86" s="9">
        <f>IF(OR($AA86="",$AB86=""),"",IFERROR($AA86/$AB86,0))</f>
      </c>
      <c r="AK86">
        <f>IF($AA86="","",
IF($S86="","",
IF(ISNUMBER(SEARCH("exempt",LOWER($S86))),0,
$AA86*(VALUE(SUBSTITUTE($S86,"%",""))/100))))</f>
      </c>
      <c r="AR86">
        <f>IF($AA86="","",
SUM($AA86,$AK86,$AO86,$AL86,$AN86,$AM86,$AP86)-
IF($AQ86="",0,VALUE($AQ86)))</f>
      </c>
      <c r="AY86" t="s">
        <v>285</v>
      </c>
    </row>
    <row r="87" spans="1:51" x14ac:dyDescent="0.25">
      <c r="R87" s="1"/>
      <c r="S87" s="1"/>
      <c r="T87" s="1"/>
      <c r="U87" s="1"/>
      <c r="V87" s="1">
        <f>IF($R87="","",TRIM(MID($R87,FIND(" - ",$R87)+3,LEN($R87))))</f>
      </c>
      <c r="W87" s="1"/>
      <c r="AC87" s="8" t="str">
        <f>IF(AND(Z87&lt;&gt;"",AB87&lt;&gt;""),Z87*AB87,"")</f>
        <v/>
      </c>
      <c r="AG87" s="2"/>
      <c r="AH87" s="3" t="str">
        <f>IF(AG87=18%,ROUND((AA87+AK87)*0.18,2),"")</f>
        <v/>
      </c>
      <c r="AI87" s="3" t="str">
        <f>IF(AG87=25%,ROUND((AA87+AK87)*0.25,2),"")</f>
        <v/>
      </c>
      <c r="AJ87" s="9">
        <f>IF(OR($AA87="",$AB87=""),"",IFERROR($AA87/$AB87,0))</f>
      </c>
      <c r="AK87">
        <f>IF($AA87="","",
IF($S87="","",
IF(ISNUMBER(SEARCH("exempt",LOWER($S87))),0,
$AA87*(VALUE(SUBSTITUTE($S87,"%",""))/100))))</f>
      </c>
      <c r="AR87">
        <f>IF($AA87="","",
SUM($AA87,$AK87,$AO87,$AL87,$AN87,$AM87,$AP87)-
IF($AQ87="",0,VALUE($AQ87)))</f>
      </c>
      <c r="AY87" t="s">
        <v>286</v>
      </c>
    </row>
    <row r="88" spans="1:51" x14ac:dyDescent="0.25">
      <c r="R88" s="1"/>
      <c r="S88" s="1"/>
      <c r="T88" s="1"/>
      <c r="U88" s="1"/>
      <c r="V88" s="1">
        <f>IF($R88="","",TRIM(MID($R88,FIND(" - ",$R88)+3,LEN($R88))))</f>
      </c>
      <c r="W88" s="1"/>
      <c r="AC88" s="8" t="str">
        <f>IF(AND(Z88&lt;&gt;"",AB88&lt;&gt;""),Z88*AB88,"")</f>
        <v/>
      </c>
      <c r="AG88" s="2"/>
      <c r="AH88" s="3" t="str">
        <f>IF(AG88=18%,ROUND((AA88+AK88)*0.18,2),"")</f>
        <v/>
      </c>
      <c r="AI88" s="3" t="str">
        <f>IF(AG88=25%,ROUND((AA88+AK88)*0.25,2),"")</f>
        <v/>
      </c>
      <c r="AJ88" s="9">
        <f>IF(OR($AA88="",$AB88=""),"",IFERROR($AA88/$AB88,0))</f>
      </c>
      <c r="AK88">
        <f>IF($AA88="","",
IF($S88="","",
IF(ISNUMBER(SEARCH("exempt",LOWER($S88))),0,
$AA88*(VALUE(SUBSTITUTE($S88,"%",""))/100))))</f>
      </c>
      <c r="AR88">
        <f>IF($AA88="","",
SUM($AA88,$AK88,$AO88,$AL88,$AN88,$AM88,$AP88)-
IF($AQ88="",0,VALUE($AQ88)))</f>
      </c>
      <c r="AY88" t="s">
        <v>287</v>
      </c>
    </row>
    <row r="89" spans="1:51" x14ac:dyDescent="0.25">
      <c r="R89" s="1"/>
      <c r="S89" s="1"/>
      <c r="T89" s="1"/>
      <c r="U89" s="1"/>
      <c r="V89" s="1">
        <f>IF($R89="","",TRIM(MID($R89,FIND(" - ",$R89)+3,LEN($R89))))</f>
      </c>
      <c r="W89" s="1"/>
      <c r="AC89" s="8" t="str">
        <f>IF(AND(Z89&lt;&gt;"",AB89&lt;&gt;""),Z89*AB89,"")</f>
        <v/>
      </c>
      <c r="AG89" s="2"/>
      <c r="AH89" s="3" t="str">
        <f>IF(AG89=18%,ROUND((AA89+AK89)*0.18,2),"")</f>
        <v/>
      </c>
      <c r="AI89" s="3" t="str">
        <f>IF(AG89=25%,ROUND((AA89+AK89)*0.25,2),"")</f>
        <v/>
      </c>
      <c r="AJ89" s="9">
        <f>IF(OR($AA89="",$AB89=""),"",IFERROR($AA89/$AB89,0))</f>
      </c>
      <c r="AK89">
        <f>IF($AA89="","",
IF($S89="","",
IF(ISNUMBER(SEARCH("exempt",LOWER($S89))),0,
$AA89*(VALUE(SUBSTITUTE($S89,"%",""))/100))))</f>
      </c>
      <c r="AR89">
        <f>IF($AA89="","",
SUM($AA89,$AK89,$AO89,$AL89,$AN89,$AM89,$AP89)-
IF($AQ89="",0,VALUE($AQ89)))</f>
      </c>
      <c r="AY89" t="s">
        <v>288</v>
      </c>
    </row>
    <row r="90" spans="1:51" x14ac:dyDescent="0.25">
      <c r="R90" s="1"/>
      <c r="S90" s="1"/>
      <c r="T90" s="1"/>
      <c r="U90" s="1"/>
      <c r="V90" s="1">
        <f>IF($R90="","",TRIM(MID($R90,FIND(" - ",$R90)+3,LEN($R90))))</f>
      </c>
      <c r="W90" s="1"/>
      <c r="AC90" s="8" t="str">
        <f>IF(AND(Z90&lt;&gt;"",AB90&lt;&gt;""),Z90*AB90,"")</f>
        <v/>
      </c>
      <c r="AG90" s="2"/>
      <c r="AH90" s="3" t="str">
        <f>IF(AG90=18%,ROUND((AA90+AK90)*0.18,2),"")</f>
        <v/>
      </c>
      <c r="AI90" s="3" t="str">
        <f>IF(AG90=25%,ROUND((AA90+AK90)*0.25,2),"")</f>
        <v/>
      </c>
      <c r="AJ90" s="9">
        <f>IF(OR($AA90="",$AB90=""),"",IFERROR($AA90/$AB90,0))</f>
      </c>
      <c r="AK90">
        <f>IF($AA90="","",
IF($S90="","",
IF(ISNUMBER(SEARCH("exempt",LOWER($S90))),0,
$AA90*(VALUE(SUBSTITUTE($S90,"%",""))/100))))</f>
      </c>
      <c r="AR90">
        <f>IF($AA90="","",
SUM($AA90,$AK90,$AO90,$AL90,$AN90,$AM90,$AP90)-
IF($AQ90="",0,VALUE($AQ90)))</f>
      </c>
      <c r="AY90" t="s">
        <v>289</v>
      </c>
    </row>
    <row r="91" spans="1:51" x14ac:dyDescent="0.25">
      <c r="R91" s="1"/>
      <c r="S91" s="1"/>
      <c r="T91" s="1"/>
      <c r="U91" s="1"/>
      <c r="V91" s="1">
        <f>IF($R91="","",TRIM(MID($R91,FIND(" - ",$R91)+3,LEN($R91))))</f>
      </c>
      <c r="W91" s="1"/>
      <c r="AC91" s="8" t="str">
        <f>IF(AND(Z91&lt;&gt;"",AB91&lt;&gt;""),Z91*AB91,"")</f>
        <v/>
      </c>
      <c r="AG91" s="2"/>
      <c r="AH91" s="3" t="str">
        <f>IF(AG91=18%,ROUND((AA91+AK91)*0.18,2),"")</f>
        <v/>
      </c>
      <c r="AI91" s="3" t="str">
        <f>IF(AG91=25%,ROUND((AA91+AK91)*0.25,2),"")</f>
        <v/>
      </c>
      <c r="AJ91" s="9">
        <f>IF(OR($AA91="",$AB91=""),"",IFERROR($AA91/$AB91,0))</f>
      </c>
      <c r="AK91">
        <f>IF($AA91="","",
IF($S91="","",
IF(ISNUMBER(SEARCH("exempt",LOWER($S91))),0,
$AA91*(VALUE(SUBSTITUTE($S91,"%",""))/100))))</f>
      </c>
      <c r="AR91">
        <f>IF($AA91="","",
SUM($AA91,$AK91,$AO91,$AL91,$AN91,$AM91,$AP91)-
IF($AQ91="",0,VALUE($AQ91)))</f>
      </c>
      <c r="AY91" t="s">
        <v>290</v>
      </c>
    </row>
    <row r="92" spans="1:51" x14ac:dyDescent="0.25">
      <c r="R92" s="1"/>
      <c r="S92" s="1"/>
      <c r="T92" s="1"/>
      <c r="U92" s="1"/>
      <c r="V92" s="1">
        <f>IF($R92="","",TRIM(MID($R92,FIND(" - ",$R92)+3,LEN($R92))))</f>
      </c>
      <c r="W92" s="1"/>
      <c r="AC92" s="8" t="str">
        <f>IF(AND(Z92&lt;&gt;"",AB92&lt;&gt;""),Z92*AB92,"")</f>
        <v/>
      </c>
      <c r="AG92" s="2"/>
      <c r="AH92" s="3" t="str">
        <f>IF(AG92=18%,ROUND((AA92+AK92)*0.18,2),"")</f>
        <v/>
      </c>
      <c r="AI92" s="3" t="str">
        <f>IF(AG92=25%,ROUND((AA92+AK92)*0.25,2),"")</f>
        <v/>
      </c>
      <c r="AJ92" s="9">
        <f>IF(OR($AA92="",$AB92=""),"",IFERROR($AA92/$AB92,0))</f>
      </c>
      <c r="AK92">
        <f>IF($AA92="","",
IF($S92="","",
IF(ISNUMBER(SEARCH("exempt",LOWER($S92))),0,
$AA92*(VALUE(SUBSTITUTE($S92,"%",""))/100))))</f>
      </c>
      <c r="AR92">
        <f>IF($AA92="","",
SUM($AA92,$AK92,$AO92,$AL92,$AN92,$AM92,$AP92)-
IF($AQ92="",0,VALUE($AQ92)))</f>
      </c>
      <c r="AY92" t="s">
        <v>291</v>
      </c>
    </row>
    <row r="93" spans="1:51" x14ac:dyDescent="0.25">
      <c r="R93" s="1"/>
      <c r="S93" s="1"/>
      <c r="T93" s="1"/>
      <c r="U93" s="1"/>
      <c r="V93" s="1">
        <f>IF($R93="","",TRIM(MID($R93,FIND(" - ",$R93)+3,LEN($R93))))</f>
      </c>
      <c r="W93" s="1"/>
      <c r="AC93" s="8" t="str">
        <f>IF(AND(Z93&lt;&gt;"",AB93&lt;&gt;""),Z93*AB93,"")</f>
        <v/>
      </c>
      <c r="AG93" s="2"/>
      <c r="AH93" s="3" t="str">
        <f>IF(AG93=18%,ROUND((AA93+AK93)*0.18,2),"")</f>
        <v/>
      </c>
      <c r="AI93" s="3" t="str">
        <f>IF(AG93=25%,ROUND((AA93+AK93)*0.25,2),"")</f>
        <v/>
      </c>
      <c r="AJ93" s="9">
        <f>IF(OR($AA93="",$AB93=""),"",IFERROR($AA93/$AB93,0))</f>
      </c>
      <c r="AK93">
        <f>IF($AA93="","",
IF($S93="","",
IF(ISNUMBER(SEARCH("exempt",LOWER($S93))),0,
$AA93*(VALUE(SUBSTITUTE($S93,"%",""))/100))))</f>
      </c>
      <c r="AR93">
        <f>IF($AA93="","",
SUM($AA93,$AK93,$AO93,$AL93,$AN93,$AM93,$AP93)-
IF($AQ93="",0,VALUE($AQ93)))</f>
      </c>
      <c r="AY93" t="s">
        <v>292</v>
      </c>
    </row>
    <row r="94" spans="1:51" x14ac:dyDescent="0.25">
      <c r="R94" s="1"/>
      <c r="S94" s="1"/>
      <c r="T94" s="1"/>
      <c r="U94" s="1"/>
      <c r="V94" s="1">
        <f>IF($R94="","",TRIM(MID($R94,FIND(" - ",$R94)+3,LEN($R94))))</f>
      </c>
      <c r="W94" s="1"/>
      <c r="AC94" s="8" t="str">
        <f>IF(AND(Z94&lt;&gt;"",AB94&lt;&gt;""),Z94*AB94,"")</f>
        <v/>
      </c>
      <c r="AG94" s="2"/>
      <c r="AH94" s="3" t="str">
        <f>IF(AG94=18%,ROUND((AA94+AK94)*0.18,2),"")</f>
        <v/>
      </c>
      <c r="AI94" s="3" t="str">
        <f>IF(AG94=25%,ROUND((AA94+AK94)*0.25,2),"")</f>
        <v/>
      </c>
      <c r="AJ94" s="9">
        <f>IF(OR($AA94="",$AB94=""),"",IFERROR($AA94/$AB94,0))</f>
      </c>
      <c r="AK94">
        <f>IF($AA94="","",
IF($S94="","",
IF(ISNUMBER(SEARCH("exempt",LOWER($S94))),0,
$AA94*(VALUE(SUBSTITUTE($S94,"%",""))/100))))</f>
      </c>
      <c r="AR94">
        <f>IF($AA94="","",
SUM($AA94,$AK94,$AO94,$AL94,$AN94,$AM94,$AP94)-
IF($AQ94="",0,VALUE($AQ94)))</f>
      </c>
      <c r="AY94" t="s">
        <v>293</v>
      </c>
    </row>
    <row r="95" spans="1:51" x14ac:dyDescent="0.25">
      <c r="R95" s="1"/>
      <c r="S95" s="1"/>
      <c r="T95" s="1"/>
      <c r="U95" s="1"/>
      <c r="V95" s="1">
        <f>IF($R95="","",TRIM(MID($R95,FIND(" - ",$R95)+3,LEN($R95))))</f>
      </c>
      <c r="W95" s="1"/>
      <c r="AC95" s="8" t="str">
        <f>IF(AND(Z95&lt;&gt;"",AB95&lt;&gt;""),Z95*AB95,"")</f>
        <v/>
      </c>
      <c r="AG95" s="2"/>
      <c r="AH95" s="3" t="str">
        <f>IF(AG95=18%,ROUND((AA95+AK95)*0.18,2),"")</f>
        <v/>
      </c>
      <c r="AI95" s="3" t="str">
        <f>IF(AG95=25%,ROUND((AA95+AK95)*0.25,2),"")</f>
        <v/>
      </c>
      <c r="AJ95" s="9">
        <f>IF(OR($AA95="",$AB95=""),"",IFERROR($AA95/$AB95,0))</f>
      </c>
      <c r="AK95">
        <f>IF($AA95="","",
IF($S95="","",
IF(ISNUMBER(SEARCH("exempt",LOWER($S95))),0,
$AA95*(VALUE(SUBSTITUTE($S95,"%",""))/100))))</f>
      </c>
      <c r="AR95">
        <f>IF($AA95="","",
SUM($AA95,$AK95,$AO95,$AL95,$AN95,$AM95,$AP95)-
IF($AQ95="",0,VALUE($AQ95)))</f>
      </c>
      <c r="AY95" t="s">
        <v>294</v>
      </c>
    </row>
    <row r="96" spans="1:51" x14ac:dyDescent="0.25">
      <c r="R96" s="1"/>
      <c r="S96" s="1"/>
      <c r="T96" s="1"/>
      <c r="U96" s="1"/>
      <c r="V96" s="1">
        <f>IF($R96="","",TRIM(MID($R96,FIND(" - ",$R96)+3,LEN($R96))))</f>
      </c>
      <c r="W96" s="1"/>
      <c r="AC96" s="8" t="str">
        <f>IF(AND(Z96&lt;&gt;"",AB96&lt;&gt;""),Z96*AB96,"")</f>
        <v/>
      </c>
      <c r="AG96" s="2"/>
      <c r="AH96" s="3" t="str">
        <f>IF(AG96=18%,ROUND((AA96+AK96)*0.18,2),"")</f>
        <v/>
      </c>
      <c r="AI96" s="3" t="str">
        <f>IF(AG96=25%,ROUND((AA96+AK96)*0.25,2),"")</f>
        <v/>
      </c>
      <c r="AJ96" s="9">
        <f>IF(OR($AA96="",$AB96=""),"",IFERROR($AA96/$AB96,0))</f>
      </c>
      <c r="AK96">
        <f>IF($AA96="","",
IF($S96="","",
IF(ISNUMBER(SEARCH("exempt",LOWER($S96))),0,
$AA96*(VALUE(SUBSTITUTE($S96,"%",""))/100))))</f>
      </c>
      <c r="AR96">
        <f>IF($AA96="","",
SUM($AA96,$AK96,$AO96,$AL96,$AN96,$AM96,$AP96)-
IF($AQ96="",0,VALUE($AQ96)))</f>
      </c>
      <c r="AY96" t="s">
        <v>295</v>
      </c>
    </row>
    <row r="97" spans="1:51" x14ac:dyDescent="0.25">
      <c r="R97" s="1"/>
      <c r="S97" s="1"/>
      <c r="T97" s="1"/>
      <c r="U97" s="1"/>
      <c r="V97" s="1">
        <f>IF($R97="","",TRIM(MID($R97,FIND(" - ",$R97)+3,LEN($R97))))</f>
      </c>
      <c r="W97" s="1"/>
      <c r="AC97" s="8" t="str">
        <f>IF(AND(Z97&lt;&gt;"",AB97&lt;&gt;""),Z97*AB97,"")</f>
        <v/>
      </c>
      <c r="AG97" s="2"/>
      <c r="AH97" s="3" t="str">
        <f>IF(AG97=18%,ROUND((AA97+AK97)*0.18,2),"")</f>
        <v/>
      </c>
      <c r="AI97" s="3" t="str">
        <f>IF(AG97=25%,ROUND((AA97+AK97)*0.25,2),"")</f>
        <v/>
      </c>
      <c r="AJ97" s="9">
        <f>IF(OR($AA97="",$AB97=""),"",IFERROR($AA97/$AB97,0))</f>
      </c>
      <c r="AK97">
        <f>IF($AA97="","",
IF($S97="","",
IF(ISNUMBER(SEARCH("exempt",LOWER($S97))),0,
$AA97*(VALUE(SUBSTITUTE($S97,"%",""))/100))))</f>
      </c>
      <c r="AR97">
        <f>IF($AA97="","",
SUM($AA97,$AK97,$AO97,$AL97,$AN97,$AM97,$AP97)-
IF($AQ97="",0,VALUE($AQ97)))</f>
      </c>
      <c r="AY97" t="s">
        <v>296</v>
      </c>
    </row>
    <row r="98" spans="1:51" x14ac:dyDescent="0.25">
      <c r="R98" s="1"/>
      <c r="S98" s="1"/>
      <c r="T98" s="1"/>
      <c r="U98" s="1"/>
      <c r="V98" s="1">
        <f>IF($R98="","",TRIM(MID($R98,FIND(" - ",$R98)+3,LEN($R98))))</f>
      </c>
      <c r="W98" s="1"/>
      <c r="AC98" s="8" t="str">
        <f>IF(AND(Z98&lt;&gt;"",AB98&lt;&gt;""),Z98*AB98,"")</f>
        <v/>
      </c>
      <c r="AG98" s="2"/>
      <c r="AH98" s="3" t="str">
        <f>IF(AG98=18%,ROUND((AA98+AK98)*0.18,2),"")</f>
        <v/>
      </c>
      <c r="AI98" s="3" t="str">
        <f>IF(AG98=25%,ROUND((AA98+AK98)*0.25,2),"")</f>
        <v/>
      </c>
      <c r="AJ98" s="9">
        <f>IF(OR($AA98="",$AB98=""),"",IFERROR($AA98/$AB98,0))</f>
      </c>
      <c r="AK98">
        <f>IF($AA98="","",
IF($S98="","",
IF(ISNUMBER(SEARCH("exempt",LOWER($S98))),0,
$AA98*(VALUE(SUBSTITUTE($S98,"%",""))/100))))</f>
      </c>
      <c r="AR98">
        <f>IF($AA98="","",
SUM($AA98,$AK98,$AO98,$AL98,$AN98,$AM98,$AP98)-
IF($AQ98="",0,VALUE($AQ98)))</f>
      </c>
      <c r="AY98" t="s">
        <v>297</v>
      </c>
    </row>
    <row r="99" spans="1:51" x14ac:dyDescent="0.25">
      <c r="R99" s="1"/>
      <c r="S99" s="1"/>
      <c r="T99" s="1"/>
      <c r="U99" s="1"/>
      <c r="V99" s="1">
        <f>IF($R99="","",TRIM(MID($R99,FIND(" - ",$R99)+3,LEN($R99))))</f>
      </c>
      <c r="W99" s="1"/>
      <c r="AC99" s="8" t="str">
        <f>IF(AND(Z99&lt;&gt;"",AB99&lt;&gt;""),Z99*AB99,"")</f>
        <v/>
      </c>
      <c r="AG99" s="2"/>
      <c r="AH99" s="3" t="str">
        <f>IF(AG99=18%,ROUND((AA99+AK99)*0.18,2),"")</f>
        <v/>
      </c>
      <c r="AI99" s="3" t="str">
        <f>IF(AG99=25%,ROUND((AA99+AK99)*0.25,2),"")</f>
        <v/>
      </c>
      <c r="AJ99" s="9">
        <f>IF(OR($AA99="",$AB99=""),"",IFERROR($AA99/$AB99,0))</f>
      </c>
      <c r="AK99">
        <f>IF($AA99="","",
IF($S99="","",
IF(ISNUMBER(SEARCH("exempt",LOWER($S99))),0,
$AA99*(VALUE(SUBSTITUTE($S99,"%",""))/100))))</f>
      </c>
      <c r="AR99">
        <f>IF($AA99="","",
SUM($AA99,$AK99,$AO99,$AL99,$AN99,$AM99,$AP99)-
IF($AQ99="",0,VALUE($AQ99)))</f>
      </c>
      <c r="AY99" t="s">
        <v>298</v>
      </c>
    </row>
    <row r="100" spans="1:51" x14ac:dyDescent="0.25">
      <c r="R100" s="1"/>
      <c r="S100" s="1"/>
      <c r="T100" s="1"/>
      <c r="U100" s="1"/>
      <c r="V100" s="1">
        <f>IF($R100="","",TRIM(MID($R100,FIND(" - ",$R100)+3,LEN($R100))))</f>
      </c>
      <c r="W100" s="1"/>
      <c r="AC100" s="8" t="str">
        <f>IF(AND(Z100&lt;&gt;"",AB100&lt;&gt;""),Z100*AB100,"")</f>
        <v/>
      </c>
      <c r="AG100" s="2"/>
      <c r="AH100" s="3" t="str">
        <f>IF(AG100=18%,ROUND((AA100+AK100)*0.18,2),"")</f>
        <v/>
      </c>
      <c r="AI100" s="3" t="str">
        <f>IF(AG100=25%,ROUND((AA100+AK100)*0.25,2),"")</f>
        <v/>
      </c>
      <c r="AJ100" s="9">
        <f>IF(OR($AA100="",$AB100=""),"",IFERROR($AA100/$AB100,0))</f>
      </c>
      <c r="AK100">
        <f>IF($AA100="","",
IF($S100="","",
IF(ISNUMBER(SEARCH("exempt",LOWER($S100))),0,
$AA100*(VALUE(SUBSTITUTE($S100,"%",""))/100))))</f>
      </c>
      <c r="AR100">
        <f>IF($AA100="","",
SUM($AA100,$AK100,$AO100,$AL100,$AN100,$AM100,$AP100)-
IF($AQ100="",0,VALUE($AQ100)))</f>
      </c>
      <c r="AY100" t="s">
        <v>299</v>
      </c>
    </row>
    <row r="101" spans="1:51" x14ac:dyDescent="0.25">
      <c r="R101" s="1"/>
      <c r="S101" s="1"/>
      <c r="T101" s="1"/>
      <c r="U101" s="1"/>
      <c r="V101" s="1">
        <f>IF($R101="","",TRIM(MID($R101,FIND(" - ",$R101)+3,LEN($R101))))</f>
      </c>
      <c r="W101" s="1"/>
      <c r="AC101" s="8" t="str">
        <f>IF(AND(Z101&lt;&gt;"",AB101&lt;&gt;""),Z101*AB101,"")</f>
        <v/>
      </c>
      <c r="AG101" s="2"/>
      <c r="AH101" s="3" t="str">
        <f>IF(AG101=18%,ROUND((AA101+AK101)*0.18,2),"")</f>
        <v/>
      </c>
      <c r="AI101" s="3" t="str">
        <f>IF(AG101=25%,ROUND((AA101+AK101)*0.25,2),"")</f>
        <v/>
      </c>
      <c r="AJ101" s="9">
        <f>IF(OR($AA101="",$AB101=""),"",IFERROR($AA101/$AB101,0))</f>
      </c>
      <c r="AK101">
        <f>IF($AA101="","",
IF($S101="","",
IF(ISNUMBER(SEARCH("exempt",LOWER($S101))),0,
$AA101*(VALUE(SUBSTITUTE($S101,"%",""))/100))))</f>
      </c>
      <c r="AR101">
        <f>IF($AA101="","",
SUM($AA101,$AK101,$AO101,$AL101,$AN101,$AM101,$AP101)-
IF($AQ101="",0,VALUE($AQ101)))</f>
      </c>
      <c r="AY101" t="s">
        <v>300</v>
      </c>
    </row>
    <row r="102" spans="1:51" x14ac:dyDescent="0.25">
      <c r="A102" t="s">
        <v>301</v>
      </c>
      <c r="AY102" t="s">
        <v>302</v>
      </c>
    </row>
    <row r="103" spans="51:51" x14ac:dyDescent="0.25">
      <c r="AY103" t="s">
        <v>303</v>
      </c>
    </row>
    <row r="104" spans="1:51" x14ac:dyDescent="0.25">
      <c r="A104" s="10" t="s">
        <v>304</v>
      </c>
      <c r="AY104" t="s">
        <v>305</v>
      </c>
    </row>
    <row r="105" spans="1:51" x14ac:dyDescent="0.25">
      <c r="A105" s="11" t="s">
        <v>306</v>
      </c>
      <c r="AY105" t="s">
        <v>307</v>
      </c>
    </row>
    <row r="106" spans="1:51" x14ac:dyDescent="0.25">
      <c r="A106" s="11" t="s">
        <v>308</v>
      </c>
      <c r="AY106" t="s">
        <v>309</v>
      </c>
    </row>
    <row r="107" spans="1:51" x14ac:dyDescent="0.25">
      <c r="A107" s="11" t="s">
        <v>310</v>
      </c>
      <c r="AY107" t="s">
        <v>311</v>
      </c>
    </row>
    <row r="108" spans="1:51" x14ac:dyDescent="0.25">
      <c r="A108" s="11" t="s">
        <v>312</v>
      </c>
      <c r="AY108" t="s">
        <v>313</v>
      </c>
    </row>
    <row r="109" spans="1:51" x14ac:dyDescent="0.25">
      <c r="A109" s="11" t="s">
        <v>314</v>
      </c>
      <c r="AY109" t="s">
        <v>315</v>
      </c>
    </row>
    <row r="110" spans="1:51" x14ac:dyDescent="0.25">
      <c r="A110" s="11" t="s">
        <v>316</v>
      </c>
      <c r="AY110" t="s">
        <v>317</v>
      </c>
    </row>
    <row r="111" spans="1:51" x14ac:dyDescent="0.25">
      <c r="A111" s="11" t="s">
        <v>318</v>
      </c>
      <c r="AY111" t="s">
        <v>319</v>
      </c>
    </row>
    <row r="112" spans="1:51" x14ac:dyDescent="0.25">
      <c r="A112" s="11" t="s">
        <v>320</v>
      </c>
      <c r="AY112" t="s">
        <v>321</v>
      </c>
    </row>
    <row r="113" spans="1:51" x14ac:dyDescent="0.25">
      <c r="A113" s="11" t="s">
        <v>322</v>
      </c>
      <c r="AY113" t="s">
        <v>323</v>
      </c>
    </row>
    <row r="114" spans="1:51" x14ac:dyDescent="0.25">
      <c r="A114" s="11" t="s">
        <v>324</v>
      </c>
      <c r="AY114" t="s">
        <v>325</v>
      </c>
    </row>
    <row r="115" spans="1:51" x14ac:dyDescent="0.25">
      <c r="A115" s="11" t="s">
        <v>326</v>
      </c>
      <c r="AY115" t="s">
        <v>327</v>
      </c>
    </row>
    <row r="116" spans="51:51" x14ac:dyDescent="0.25">
      <c r="AY116" t="s">
        <v>328</v>
      </c>
    </row>
    <row r="117" spans="51:51" x14ac:dyDescent="0.25">
      <c r="AY117" t="s">
        <v>329</v>
      </c>
    </row>
    <row r="118" spans="51:51" x14ac:dyDescent="0.25">
      <c r="AY118" t="s">
        <v>330</v>
      </c>
    </row>
    <row r="119" spans="51:51" x14ac:dyDescent="0.25">
      <c r="AY119" t="s">
        <v>331</v>
      </c>
    </row>
    <row r="120" spans="51:51" x14ac:dyDescent="0.25">
      <c r="AY120" t="s">
        <v>332</v>
      </c>
    </row>
    <row r="121" spans="51:51" x14ac:dyDescent="0.25">
      <c r="AY121" t="s">
        <v>333</v>
      </c>
    </row>
    <row r="122" spans="51:51" x14ac:dyDescent="0.25">
      <c r="AY122" t="s">
        <v>334</v>
      </c>
    </row>
    <row r="123" spans="51:51" x14ac:dyDescent="0.25">
      <c r="AY123" t="s">
        <v>335</v>
      </c>
    </row>
    <row r="124" spans="51:51" x14ac:dyDescent="0.25">
      <c r="AY124" t="s">
        <v>336</v>
      </c>
    </row>
    <row r="125" spans="51:51" x14ac:dyDescent="0.25">
      <c r="AY125" t="s">
        <v>337</v>
      </c>
    </row>
    <row r="126" spans="51:51" x14ac:dyDescent="0.25">
      <c r="AY126" t="s">
        <v>338</v>
      </c>
    </row>
    <row r="127" spans="51:51" x14ac:dyDescent="0.25">
      <c r="AY127" t="s">
        <v>339</v>
      </c>
    </row>
    <row r="128" spans="51:51" x14ac:dyDescent="0.25">
      <c r="AY128" t="s">
        <v>340</v>
      </c>
    </row>
    <row r="129" spans="51:51" x14ac:dyDescent="0.25">
      <c r="AY129" t="s">
        <v>341</v>
      </c>
    </row>
    <row r="130" spans="51:51" x14ac:dyDescent="0.25">
      <c r="AY130" t="s">
        <v>342</v>
      </c>
    </row>
    <row r="131" spans="51:51" x14ac:dyDescent="0.25">
      <c r="AY131" t="s">
        <v>343</v>
      </c>
    </row>
    <row r="132" spans="51:51" x14ac:dyDescent="0.25">
      <c r="AY132" t="s">
        <v>344</v>
      </c>
    </row>
    <row r="133" spans="51:51" x14ac:dyDescent="0.25">
      <c r="AY133" t="s">
        <v>345</v>
      </c>
    </row>
    <row r="134" spans="51:51" x14ac:dyDescent="0.25">
      <c r="AY134" t="s">
        <v>346</v>
      </c>
    </row>
    <row r="135" spans="51:51" x14ac:dyDescent="0.25">
      <c r="AY135" t="s">
        <v>347</v>
      </c>
    </row>
    <row r="136" spans="51:51" x14ac:dyDescent="0.25">
      <c r="AY136" t="s">
        <v>348</v>
      </c>
    </row>
    <row r="137" spans="51:51" x14ac:dyDescent="0.25">
      <c r="AY137" t="s">
        <v>349</v>
      </c>
    </row>
    <row r="138" spans="51:51" x14ac:dyDescent="0.25">
      <c r="AY138" t="s">
        <v>350</v>
      </c>
    </row>
    <row r="139" spans="51:51" x14ac:dyDescent="0.25">
      <c r="AY139" t="s">
        <v>351</v>
      </c>
    </row>
    <row r="140" spans="51:51" x14ac:dyDescent="0.25">
      <c r="AY140" t="s">
        <v>352</v>
      </c>
    </row>
    <row r="141" spans="51:51" x14ac:dyDescent="0.25">
      <c r="AY141" t="s">
        <v>353</v>
      </c>
    </row>
    <row r="142" spans="51:51" x14ac:dyDescent="0.25">
      <c r="AY142" t="s">
        <v>354</v>
      </c>
    </row>
    <row r="143" spans="51:51" x14ac:dyDescent="0.25">
      <c r="AY143" t="s">
        <v>355</v>
      </c>
    </row>
    <row r="144" spans="51:51" x14ac:dyDescent="0.25">
      <c r="AY144" t="s">
        <v>356</v>
      </c>
    </row>
    <row r="145" spans="51:51" x14ac:dyDescent="0.25">
      <c r="AY145" t="s">
        <v>357</v>
      </c>
    </row>
    <row r="146" spans="51:51" x14ac:dyDescent="0.25">
      <c r="AY146" t="s">
        <v>358</v>
      </c>
    </row>
    <row r="147" spans="51:51" x14ac:dyDescent="0.25">
      <c r="AY147" t="s">
        <v>359</v>
      </c>
    </row>
    <row r="148" spans="51:51" x14ac:dyDescent="0.25">
      <c r="AY148" t="s">
        <v>360</v>
      </c>
    </row>
    <row r="149" spans="51:51" x14ac:dyDescent="0.25">
      <c r="AY149" t="s">
        <v>361</v>
      </c>
    </row>
    <row r="150" spans="51:51" x14ac:dyDescent="0.25">
      <c r="AY150" t="s">
        <v>362</v>
      </c>
    </row>
    <row r="151" spans="51:51" x14ac:dyDescent="0.25">
      <c r="AY151" t="s">
        <v>363</v>
      </c>
    </row>
    <row r="152" spans="51:51" x14ac:dyDescent="0.25">
      <c r="AY152" t="s">
        <v>364</v>
      </c>
    </row>
    <row r="153" spans="51:51" x14ac:dyDescent="0.25">
      <c r="AY153" t="s">
        <v>365</v>
      </c>
    </row>
    <row r="154" spans="51:51" x14ac:dyDescent="0.25">
      <c r="AY154" t="s">
        <v>366</v>
      </c>
    </row>
    <row r="155" spans="51:51" x14ac:dyDescent="0.25">
      <c r="AY155" t="s">
        <v>367</v>
      </c>
    </row>
    <row r="156" spans="51:51" x14ac:dyDescent="0.25">
      <c r="AY156" t="s">
        <v>368</v>
      </c>
    </row>
    <row r="157" spans="51:51" x14ac:dyDescent="0.25">
      <c r="AY157" t="s">
        <v>369</v>
      </c>
    </row>
    <row r="158" spans="51:51" x14ac:dyDescent="0.25">
      <c r="AY158" t="s">
        <v>370</v>
      </c>
    </row>
    <row r="159" spans="51:51" x14ac:dyDescent="0.25">
      <c r="AY159" t="s">
        <v>371</v>
      </c>
    </row>
    <row r="160" spans="51:51" x14ac:dyDescent="0.25">
      <c r="AY160" t="s">
        <v>372</v>
      </c>
    </row>
    <row r="161" spans="51:51" x14ac:dyDescent="0.25">
      <c r="AY161" t="s">
        <v>373</v>
      </c>
    </row>
    <row r="162" spans="51:51" x14ac:dyDescent="0.25">
      <c r="AY162" t="s">
        <v>374</v>
      </c>
    </row>
    <row r="163" spans="51:51" x14ac:dyDescent="0.25">
      <c r="AY163" t="s">
        <v>375</v>
      </c>
    </row>
    <row r="164" spans="51:51" x14ac:dyDescent="0.25">
      <c r="AY164" t="s">
        <v>376</v>
      </c>
    </row>
    <row r="165" spans="51:51" x14ac:dyDescent="0.25">
      <c r="AY165" t="s">
        <v>377</v>
      </c>
    </row>
    <row r="166" spans="51:51" x14ac:dyDescent="0.25">
      <c r="AY166" t="s">
        <v>378</v>
      </c>
    </row>
    <row r="167" spans="51:51" x14ac:dyDescent="0.25">
      <c r="AY167" t="s">
        <v>379</v>
      </c>
    </row>
    <row r="168" spans="51:51" x14ac:dyDescent="0.25">
      <c r="AY168" t="s">
        <v>380</v>
      </c>
    </row>
    <row r="169" spans="51:51" x14ac:dyDescent="0.25">
      <c r="AY169" t="s">
        <v>381</v>
      </c>
    </row>
    <row r="170" spans="51:51" x14ac:dyDescent="0.25">
      <c r="AY170" t="s">
        <v>382</v>
      </c>
    </row>
    <row r="171" spans="51:51" x14ac:dyDescent="0.25">
      <c r="AY171" t="s">
        <v>383</v>
      </c>
    </row>
    <row r="172" spans="51:51" x14ac:dyDescent="0.25">
      <c r="AY172" t="s">
        <v>384</v>
      </c>
    </row>
    <row r="173" spans="51:51" x14ac:dyDescent="0.25">
      <c r="AY173" t="s">
        <v>385</v>
      </c>
    </row>
    <row r="174" spans="51:51" x14ac:dyDescent="0.25">
      <c r="AY174" t="s">
        <v>386</v>
      </c>
    </row>
    <row r="175" spans="51:51" x14ac:dyDescent="0.25">
      <c r="AY175" t="s">
        <v>387</v>
      </c>
    </row>
    <row r="176" spans="51:51" x14ac:dyDescent="0.25">
      <c r="AY176" t="s">
        <v>388</v>
      </c>
    </row>
    <row r="177" spans="51:51" x14ac:dyDescent="0.25">
      <c r="AY177" t="s">
        <v>389</v>
      </c>
    </row>
    <row r="178" spans="51:51" x14ac:dyDescent="0.25">
      <c r="AY178" t="s">
        <v>390</v>
      </c>
    </row>
    <row r="179" spans="51:51" x14ac:dyDescent="0.25">
      <c r="AY179" t="s">
        <v>391</v>
      </c>
    </row>
    <row r="180" spans="51:51" x14ac:dyDescent="0.25">
      <c r="AY180" t="s">
        <v>392</v>
      </c>
    </row>
    <row r="181" spans="51:51" x14ac:dyDescent="0.25">
      <c r="AY181" t="s">
        <v>393</v>
      </c>
    </row>
    <row r="182" spans="51:51" x14ac:dyDescent="0.25">
      <c r="AY182" t="s">
        <v>394</v>
      </c>
    </row>
    <row r="183" spans="51:51" x14ac:dyDescent="0.25">
      <c r="AY183" t="s">
        <v>395</v>
      </c>
    </row>
    <row r="184" spans="51:51" x14ac:dyDescent="0.25">
      <c r="AY184" t="s">
        <v>396</v>
      </c>
    </row>
    <row r="185" spans="51:51" x14ac:dyDescent="0.25">
      <c r="AY185" t="s">
        <v>397</v>
      </c>
    </row>
    <row r="186" spans="51:51" x14ac:dyDescent="0.25">
      <c r="AY186" t="s">
        <v>398</v>
      </c>
    </row>
    <row r="187" spans="51:51" x14ac:dyDescent="0.25">
      <c r="AY187" t="s">
        <v>399</v>
      </c>
    </row>
    <row r="188" spans="51:51" x14ac:dyDescent="0.25">
      <c r="AY188" t="s">
        <v>400</v>
      </c>
    </row>
    <row r="189" spans="51:51" x14ac:dyDescent="0.25">
      <c r="AY189" t="s">
        <v>401</v>
      </c>
    </row>
    <row r="190" spans="51:51" x14ac:dyDescent="0.25">
      <c r="AY190" t="s">
        <v>402</v>
      </c>
    </row>
    <row r="191" spans="51:51" x14ac:dyDescent="0.25">
      <c r="AY191" t="s">
        <v>403</v>
      </c>
    </row>
    <row r="192" spans="51:51" x14ac:dyDescent="0.25">
      <c r="AY192" t="s">
        <v>404</v>
      </c>
    </row>
    <row r="193" spans="51:51" x14ac:dyDescent="0.25">
      <c r="AY193" t="s">
        <v>405</v>
      </c>
    </row>
    <row r="194" spans="51:51" x14ac:dyDescent="0.25">
      <c r="AY194" t="s">
        <v>406</v>
      </c>
    </row>
    <row r="195" spans="51:51" x14ac:dyDescent="0.25">
      <c r="AY195" t="s">
        <v>407</v>
      </c>
    </row>
    <row r="196" spans="51:51" x14ac:dyDescent="0.25">
      <c r="AY196" t="s">
        <v>408</v>
      </c>
    </row>
    <row r="197" spans="51:51" x14ac:dyDescent="0.25">
      <c r="AY197" t="s">
        <v>409</v>
      </c>
    </row>
    <row r="198" spans="51:51" x14ac:dyDescent="0.25">
      <c r="AY198" t="s">
        <v>410</v>
      </c>
    </row>
    <row r="199" spans="51:51" x14ac:dyDescent="0.25">
      <c r="AY199" t="s">
        <v>411</v>
      </c>
    </row>
    <row r="200" spans="51:51" x14ac:dyDescent="0.25">
      <c r="AY200" t="s">
        <v>412</v>
      </c>
    </row>
    <row r="201" spans="51:51" x14ac:dyDescent="0.25">
      <c r="AY201" t="s">
        <v>413</v>
      </c>
    </row>
    <row r="202" spans="51:51" x14ac:dyDescent="0.25">
      <c r="AY202" t="s">
        <v>414</v>
      </c>
    </row>
    <row r="203" spans="51:51" x14ac:dyDescent="0.25">
      <c r="AY203" t="s">
        <v>415</v>
      </c>
    </row>
    <row r="204" spans="51:51" x14ac:dyDescent="0.25">
      <c r="AY204" t="s">
        <v>416</v>
      </c>
    </row>
    <row r="205" spans="51:51" x14ac:dyDescent="0.25">
      <c r="AY205" t="s">
        <v>417</v>
      </c>
    </row>
    <row r="206" spans="51:51" x14ac:dyDescent="0.25">
      <c r="AY206" t="s">
        <v>418</v>
      </c>
    </row>
    <row r="207" spans="51:51" x14ac:dyDescent="0.25">
      <c r="AY207" t="s">
        <v>419</v>
      </c>
    </row>
    <row r="208" spans="51:51" x14ac:dyDescent="0.25">
      <c r="AY208" t="s">
        <v>420</v>
      </c>
    </row>
    <row r="209" spans="51:51" x14ac:dyDescent="0.25">
      <c r="AY209" t="s">
        <v>421</v>
      </c>
    </row>
    <row r="210" spans="51:51" x14ac:dyDescent="0.25">
      <c r="AY210" t="s">
        <v>422</v>
      </c>
    </row>
    <row r="211" spans="51:51" x14ac:dyDescent="0.25">
      <c r="AY211" t="s">
        <v>423</v>
      </c>
    </row>
    <row r="212" spans="51:51" x14ac:dyDescent="0.25">
      <c r="AY212" t="s">
        <v>424</v>
      </c>
    </row>
    <row r="213" spans="51:51" x14ac:dyDescent="0.25">
      <c r="AY213" t="s">
        <v>425</v>
      </c>
    </row>
    <row r="214" spans="51:51" x14ac:dyDescent="0.25">
      <c r="AY214" t="s">
        <v>426</v>
      </c>
    </row>
    <row r="215" spans="51:51" x14ac:dyDescent="0.25">
      <c r="AY215" t="s">
        <v>427</v>
      </c>
    </row>
    <row r="216" spans="51:51" x14ac:dyDescent="0.25">
      <c r="AY216" t="s">
        <v>428</v>
      </c>
    </row>
    <row r="217" spans="51:51" x14ac:dyDescent="0.25">
      <c r="AY217" t="s">
        <v>429</v>
      </c>
    </row>
    <row r="218" spans="51:51" x14ac:dyDescent="0.25">
      <c r="AY218" t="s">
        <v>430</v>
      </c>
    </row>
    <row r="219" spans="51:51" x14ac:dyDescent="0.25">
      <c r="AY219" t="s">
        <v>431</v>
      </c>
    </row>
    <row r="220" spans="51:51" x14ac:dyDescent="0.25">
      <c r="AY220" t="s">
        <v>432</v>
      </c>
    </row>
    <row r="221" spans="51:51" x14ac:dyDescent="0.25">
      <c r="AY221" t="s">
        <v>433</v>
      </c>
    </row>
    <row r="222" spans="51:51" x14ac:dyDescent="0.25">
      <c r="AY222" t="s">
        <v>434</v>
      </c>
    </row>
    <row r="223" spans="51:51" x14ac:dyDescent="0.25">
      <c r="AY223" t="s">
        <v>435</v>
      </c>
    </row>
    <row r="224" spans="51:51" x14ac:dyDescent="0.25">
      <c r="AY224" t="s">
        <v>436</v>
      </c>
    </row>
    <row r="225" spans="51:51" x14ac:dyDescent="0.25">
      <c r="AY225" t="s">
        <v>437</v>
      </c>
    </row>
    <row r="226" spans="51:51" x14ac:dyDescent="0.25">
      <c r="AY226" t="s">
        <v>438</v>
      </c>
    </row>
    <row r="227" spans="51:51" x14ac:dyDescent="0.25">
      <c r="AY227" t="s">
        <v>439</v>
      </c>
    </row>
    <row r="228" spans="51:51" x14ac:dyDescent="0.25">
      <c r="AY228" t="s">
        <v>440</v>
      </c>
    </row>
    <row r="229" spans="51:51" x14ac:dyDescent="0.25">
      <c r="AY229" t="s">
        <v>441</v>
      </c>
    </row>
    <row r="230" spans="51:51" x14ac:dyDescent="0.25">
      <c r="AY230" t="s">
        <v>442</v>
      </c>
    </row>
    <row r="231" spans="51:51" x14ac:dyDescent="0.25">
      <c r="AY231" t="s">
        <v>443</v>
      </c>
    </row>
    <row r="232" spans="51:51" x14ac:dyDescent="0.25">
      <c r="AY232" t="s">
        <v>444</v>
      </c>
    </row>
    <row r="233" spans="51:51" x14ac:dyDescent="0.25">
      <c r="AY233" t="s">
        <v>445</v>
      </c>
    </row>
    <row r="234" spans="51:51" x14ac:dyDescent="0.25">
      <c r="AY234" t="s">
        <v>446</v>
      </c>
    </row>
    <row r="235" spans="51:51" x14ac:dyDescent="0.25">
      <c r="AY235" t="s">
        <v>447</v>
      </c>
    </row>
    <row r="236" spans="51:51" x14ac:dyDescent="0.25">
      <c r="AY236" t="s">
        <v>448</v>
      </c>
    </row>
    <row r="237" spans="51:51" x14ac:dyDescent="0.25">
      <c r="AY237" t="s">
        <v>449</v>
      </c>
    </row>
    <row r="238" spans="51:51" x14ac:dyDescent="0.25">
      <c r="AY238" t="s">
        <v>450</v>
      </c>
    </row>
    <row r="239" spans="51:51" x14ac:dyDescent="0.25">
      <c r="AY239" t="s">
        <v>451</v>
      </c>
    </row>
    <row r="240" spans="51:51" x14ac:dyDescent="0.25">
      <c r="AY240" t="s">
        <v>452</v>
      </c>
    </row>
    <row r="241" spans="51:51" x14ac:dyDescent="0.25">
      <c r="AY241" t="s">
        <v>453</v>
      </c>
    </row>
    <row r="242" spans="51:51" x14ac:dyDescent="0.25">
      <c r="AY242" t="s">
        <v>454</v>
      </c>
    </row>
    <row r="243" spans="51:51" x14ac:dyDescent="0.25">
      <c r="AY243" t="s">
        <v>455</v>
      </c>
    </row>
    <row r="244" spans="51:51" x14ac:dyDescent="0.25">
      <c r="AY244" t="s">
        <v>456</v>
      </c>
    </row>
    <row r="245" spans="51:51" x14ac:dyDescent="0.25">
      <c r="AY245" t="s">
        <v>457</v>
      </c>
    </row>
    <row r="246" spans="51:51" x14ac:dyDescent="0.25">
      <c r="AY246" t="s">
        <v>458</v>
      </c>
    </row>
    <row r="247" spans="51:51" x14ac:dyDescent="0.25">
      <c r="AY247" t="s">
        <v>459</v>
      </c>
    </row>
    <row r="248" spans="51:51" x14ac:dyDescent="0.25">
      <c r="AY248" t="s">
        <v>460</v>
      </c>
    </row>
    <row r="249" spans="51:51" x14ac:dyDescent="0.25">
      <c r="AY249" t="s">
        <v>461</v>
      </c>
    </row>
    <row r="250" spans="51:51" x14ac:dyDescent="0.25">
      <c r="AY250" t="s">
        <v>462</v>
      </c>
    </row>
    <row r="251" spans="51:51" x14ac:dyDescent="0.25">
      <c r="AY251" t="s">
        <v>463</v>
      </c>
    </row>
    <row r="252" spans="51:51" x14ac:dyDescent="0.25">
      <c r="AY252" t="s">
        <v>464</v>
      </c>
    </row>
    <row r="253" spans="51:51" x14ac:dyDescent="0.25">
      <c r="AY253" t="s">
        <v>465</v>
      </c>
    </row>
    <row r="254" spans="51:51" x14ac:dyDescent="0.25">
      <c r="AY254" t="s">
        <v>466</v>
      </c>
    </row>
    <row r="255" spans="51:51" x14ac:dyDescent="0.25">
      <c r="AY255" t="s">
        <v>467</v>
      </c>
    </row>
    <row r="256" spans="51:51" x14ac:dyDescent="0.25">
      <c r="AY256" t="s">
        <v>468</v>
      </c>
    </row>
    <row r="257" spans="51:51" x14ac:dyDescent="0.25">
      <c r="AY257" t="s">
        <v>469</v>
      </c>
    </row>
    <row r="258" spans="51:51" x14ac:dyDescent="0.25">
      <c r="AY258" t="s">
        <v>470</v>
      </c>
    </row>
    <row r="259" spans="51:51" x14ac:dyDescent="0.25">
      <c r="AY259" t="s">
        <v>471</v>
      </c>
    </row>
    <row r="260" spans="51:51" x14ac:dyDescent="0.25">
      <c r="AY260" t="s">
        <v>472</v>
      </c>
    </row>
    <row r="261" spans="51:51" x14ac:dyDescent="0.25">
      <c r="AY261" t="s">
        <v>473</v>
      </c>
    </row>
    <row r="262" spans="51:51" x14ac:dyDescent="0.25">
      <c r="AY262" t="s">
        <v>474</v>
      </c>
    </row>
    <row r="263" spans="51:51" x14ac:dyDescent="0.25">
      <c r="AY263" t="s">
        <v>475</v>
      </c>
    </row>
    <row r="264" spans="51:51" x14ac:dyDescent="0.25">
      <c r="AY264" t="s">
        <v>476</v>
      </c>
    </row>
    <row r="265" spans="51:51" x14ac:dyDescent="0.25">
      <c r="AY265" t="s">
        <v>477</v>
      </c>
    </row>
    <row r="266" spans="51:51" x14ac:dyDescent="0.25">
      <c r="AY266" t="s">
        <v>478</v>
      </c>
    </row>
    <row r="267" spans="51:51" x14ac:dyDescent="0.25">
      <c r="AY267" t="s">
        <v>479</v>
      </c>
    </row>
    <row r="268" spans="51:51" x14ac:dyDescent="0.25">
      <c r="AY268" t="s">
        <v>480</v>
      </c>
    </row>
    <row r="269" spans="51:51" x14ac:dyDescent="0.25">
      <c r="AY269" t="s">
        <v>481</v>
      </c>
    </row>
    <row r="270" spans="51:51" x14ac:dyDescent="0.25">
      <c r="AY270" t="s">
        <v>482</v>
      </c>
    </row>
    <row r="271" spans="51:51" x14ac:dyDescent="0.25">
      <c r="AY271" t="s">
        <v>483</v>
      </c>
    </row>
    <row r="272" spans="51:51" x14ac:dyDescent="0.25">
      <c r="AY272" t="s">
        <v>484</v>
      </c>
    </row>
    <row r="273" spans="51:51" x14ac:dyDescent="0.25">
      <c r="AY273" t="s">
        <v>485</v>
      </c>
    </row>
    <row r="274" spans="51:51" x14ac:dyDescent="0.25">
      <c r="AY274" t="s">
        <v>486</v>
      </c>
    </row>
    <row r="275" spans="51:51" x14ac:dyDescent="0.25">
      <c r="AY275" t="s">
        <v>487</v>
      </c>
    </row>
    <row r="276" spans="51:51" x14ac:dyDescent="0.25">
      <c r="AY276" t="s">
        <v>488</v>
      </c>
    </row>
    <row r="277" spans="51:51" x14ac:dyDescent="0.25">
      <c r="AY277" t="s">
        <v>489</v>
      </c>
    </row>
    <row r="278" spans="51:51" x14ac:dyDescent="0.25">
      <c r="AY278" t="s">
        <v>490</v>
      </c>
    </row>
    <row r="279" spans="51:51" x14ac:dyDescent="0.25">
      <c r="AY279" t="s">
        <v>491</v>
      </c>
    </row>
    <row r="280" spans="51:51" x14ac:dyDescent="0.25">
      <c r="AY280" t="s">
        <v>492</v>
      </c>
    </row>
    <row r="281" spans="51:51" x14ac:dyDescent="0.25">
      <c r="AY281" t="s">
        <v>493</v>
      </c>
    </row>
    <row r="282" spans="51:51" x14ac:dyDescent="0.25">
      <c r="AY282" t="s">
        <v>494</v>
      </c>
    </row>
    <row r="283" spans="51:51" x14ac:dyDescent="0.25">
      <c r="AY283" t="s">
        <v>495</v>
      </c>
    </row>
    <row r="284" spans="51:51" x14ac:dyDescent="0.25">
      <c r="AY284" t="s">
        <v>496</v>
      </c>
    </row>
    <row r="285" spans="51:51" x14ac:dyDescent="0.25">
      <c r="AY285" t="s">
        <v>497</v>
      </c>
    </row>
    <row r="286" spans="51:51" x14ac:dyDescent="0.25">
      <c r="AY286" t="s">
        <v>498</v>
      </c>
    </row>
    <row r="287" spans="51:51" x14ac:dyDescent="0.25">
      <c r="AY287" t="s">
        <v>499</v>
      </c>
    </row>
    <row r="288" spans="51:51" x14ac:dyDescent="0.25">
      <c r="AY288" t="s">
        <v>500</v>
      </c>
    </row>
    <row r="289" spans="51:51" x14ac:dyDescent="0.25">
      <c r="AY289" t="s">
        <v>501</v>
      </c>
    </row>
    <row r="290" spans="51:51" x14ac:dyDescent="0.25">
      <c r="AY290" t="s">
        <v>502</v>
      </c>
    </row>
    <row r="291" spans="51:51" x14ac:dyDescent="0.25">
      <c r="AY291" t="s">
        <v>503</v>
      </c>
    </row>
    <row r="292" spans="51:51" x14ac:dyDescent="0.25">
      <c r="AY292" t="s">
        <v>504</v>
      </c>
    </row>
    <row r="293" spans="51:51" x14ac:dyDescent="0.25">
      <c r="AY293" t="s">
        <v>505</v>
      </c>
    </row>
    <row r="294" spans="51:51" x14ac:dyDescent="0.25">
      <c r="AY294" t="s">
        <v>506</v>
      </c>
    </row>
    <row r="295" spans="51:51" x14ac:dyDescent="0.25">
      <c r="AY295" t="s">
        <v>507</v>
      </c>
    </row>
    <row r="296" spans="51:51" x14ac:dyDescent="0.25">
      <c r="AY296" t="s">
        <v>508</v>
      </c>
    </row>
    <row r="297" spans="51:51" x14ac:dyDescent="0.25">
      <c r="AY297" t="s">
        <v>509</v>
      </c>
    </row>
    <row r="298" spans="51:51" x14ac:dyDescent="0.25">
      <c r="AY298" t="s">
        <v>510</v>
      </c>
    </row>
    <row r="299" spans="51:51" x14ac:dyDescent="0.25">
      <c r="AY299" t="s">
        <v>511</v>
      </c>
    </row>
    <row r="300" spans="51:51" x14ac:dyDescent="0.25">
      <c r="AY300" t="s">
        <v>512</v>
      </c>
    </row>
    <row r="301" spans="51:51" x14ac:dyDescent="0.25">
      <c r="AY301" t="s">
        <v>513</v>
      </c>
    </row>
    <row r="302" spans="51:51" x14ac:dyDescent="0.25">
      <c r="AY302" t="s">
        <v>514</v>
      </c>
    </row>
    <row r="303" spans="51:51" x14ac:dyDescent="0.25">
      <c r="AY303" t="s">
        <v>515</v>
      </c>
    </row>
    <row r="304" spans="51:51" x14ac:dyDescent="0.25">
      <c r="AY304" t="s">
        <v>516</v>
      </c>
    </row>
    <row r="305" spans="51:51" x14ac:dyDescent="0.25">
      <c r="AY305" t="s">
        <v>517</v>
      </c>
    </row>
    <row r="306" spans="51:51" x14ac:dyDescent="0.25">
      <c r="AY306" t="s">
        <v>518</v>
      </c>
    </row>
    <row r="307" spans="51:51" x14ac:dyDescent="0.25">
      <c r="AY307" t="s">
        <v>519</v>
      </c>
    </row>
    <row r="308" spans="51:51" x14ac:dyDescent="0.25">
      <c r="AY308" t="s">
        <v>520</v>
      </c>
    </row>
    <row r="309" spans="51:51" x14ac:dyDescent="0.25">
      <c r="AY309" t="s">
        <v>521</v>
      </c>
    </row>
    <row r="310" spans="51:51" x14ac:dyDescent="0.25">
      <c r="AY310" t="s">
        <v>522</v>
      </c>
    </row>
    <row r="311" spans="51:51" x14ac:dyDescent="0.25">
      <c r="AY311" t="s">
        <v>523</v>
      </c>
    </row>
    <row r="312" spans="51:51" x14ac:dyDescent="0.25">
      <c r="AY312" t="s">
        <v>524</v>
      </c>
    </row>
    <row r="313" spans="51:51" x14ac:dyDescent="0.25">
      <c r="AY313" t="s">
        <v>525</v>
      </c>
    </row>
    <row r="314" spans="51:51" x14ac:dyDescent="0.25">
      <c r="AY314" t="s">
        <v>526</v>
      </c>
    </row>
    <row r="315" spans="51:51" x14ac:dyDescent="0.25">
      <c r="AY315" t="s">
        <v>527</v>
      </c>
    </row>
    <row r="316" spans="51:51" x14ac:dyDescent="0.25">
      <c r="AY316" t="s">
        <v>528</v>
      </c>
    </row>
    <row r="317" spans="51:51" x14ac:dyDescent="0.25">
      <c r="AY317" t="s">
        <v>529</v>
      </c>
    </row>
    <row r="318" spans="51:51" x14ac:dyDescent="0.25">
      <c r="AY318" t="s">
        <v>530</v>
      </c>
    </row>
    <row r="319" spans="51:51" x14ac:dyDescent="0.25">
      <c r="AY319" t="s">
        <v>531</v>
      </c>
    </row>
    <row r="320" spans="51:51" x14ac:dyDescent="0.25">
      <c r="AY320" t="s">
        <v>532</v>
      </c>
    </row>
    <row r="321" spans="51:51" x14ac:dyDescent="0.25">
      <c r="AY321" t="s">
        <v>533</v>
      </c>
    </row>
    <row r="322" spans="51:51" x14ac:dyDescent="0.25">
      <c r="AY322" t="s">
        <v>534</v>
      </c>
    </row>
    <row r="323" spans="51:51" x14ac:dyDescent="0.25">
      <c r="AY323" t="s">
        <v>535</v>
      </c>
    </row>
    <row r="324" spans="51:51" x14ac:dyDescent="0.25">
      <c r="AY324" t="s">
        <v>536</v>
      </c>
    </row>
    <row r="325" spans="51:51" x14ac:dyDescent="0.25">
      <c r="AY325" t="s">
        <v>537</v>
      </c>
    </row>
    <row r="326" spans="51:51" x14ac:dyDescent="0.25">
      <c r="AY326" t="s">
        <v>538</v>
      </c>
    </row>
    <row r="327" spans="51:51" x14ac:dyDescent="0.25">
      <c r="AY327" t="s">
        <v>539</v>
      </c>
    </row>
    <row r="328" spans="51:51" x14ac:dyDescent="0.25">
      <c r="AY328" t="s">
        <v>540</v>
      </c>
    </row>
    <row r="329" spans="51:51" x14ac:dyDescent="0.25">
      <c r="AY329" t="s">
        <v>541</v>
      </c>
    </row>
    <row r="330" spans="51:51" x14ac:dyDescent="0.25">
      <c r="AY330" t="s">
        <v>542</v>
      </c>
    </row>
    <row r="331" spans="51:51" x14ac:dyDescent="0.25">
      <c r="AY331" t="s">
        <v>543</v>
      </c>
    </row>
    <row r="332" spans="51:51" x14ac:dyDescent="0.25">
      <c r="AY332" t="s">
        <v>544</v>
      </c>
    </row>
    <row r="333" spans="51:51" x14ac:dyDescent="0.25">
      <c r="AY333" t="s">
        <v>545</v>
      </c>
    </row>
    <row r="334" spans="51:51" x14ac:dyDescent="0.25">
      <c r="AY334" t="s">
        <v>546</v>
      </c>
    </row>
    <row r="335" spans="51:51" x14ac:dyDescent="0.25">
      <c r="AY335" t="s">
        <v>547</v>
      </c>
    </row>
    <row r="336" spans="51:51" x14ac:dyDescent="0.25">
      <c r="AY336" t="s">
        <v>548</v>
      </c>
    </row>
    <row r="337" spans="51:51" x14ac:dyDescent="0.25">
      <c r="AY337" t="s">
        <v>549</v>
      </c>
    </row>
    <row r="338" spans="51:51" x14ac:dyDescent="0.25">
      <c r="AY338" t="s">
        <v>550</v>
      </c>
    </row>
    <row r="339" spans="51:51" x14ac:dyDescent="0.25">
      <c r="AY339" t="s">
        <v>551</v>
      </c>
    </row>
    <row r="340" spans="51:51" x14ac:dyDescent="0.25">
      <c r="AY340" t="s">
        <v>552</v>
      </c>
    </row>
    <row r="341" spans="51:51" x14ac:dyDescent="0.25">
      <c r="AY341" t="s">
        <v>553</v>
      </c>
    </row>
    <row r="342" spans="51:51" x14ac:dyDescent="0.25">
      <c r="AY342" t="s">
        <v>554</v>
      </c>
    </row>
    <row r="343" spans="51:51" x14ac:dyDescent="0.25">
      <c r="AY343" t="s">
        <v>555</v>
      </c>
    </row>
    <row r="344" spans="51:51" x14ac:dyDescent="0.25">
      <c r="AY344" t="s">
        <v>556</v>
      </c>
    </row>
    <row r="345" spans="51:51" x14ac:dyDescent="0.25">
      <c r="AY345" t="s">
        <v>557</v>
      </c>
    </row>
    <row r="346" spans="51:51" x14ac:dyDescent="0.25">
      <c r="AY346" t="s">
        <v>558</v>
      </c>
    </row>
    <row r="347" spans="51:51" x14ac:dyDescent="0.25">
      <c r="AY347" t="s">
        <v>559</v>
      </c>
    </row>
    <row r="348" spans="51:51" x14ac:dyDescent="0.25">
      <c r="AY348" t="s">
        <v>560</v>
      </c>
    </row>
    <row r="349" spans="51:51" x14ac:dyDescent="0.25">
      <c r="AY349" t="s">
        <v>561</v>
      </c>
    </row>
    <row r="350" spans="51:51" x14ac:dyDescent="0.25">
      <c r="AY350" t="s">
        <v>562</v>
      </c>
    </row>
    <row r="351" spans="51:51" x14ac:dyDescent="0.25">
      <c r="AY351" t="s">
        <v>563</v>
      </c>
    </row>
    <row r="352" spans="51:51" x14ac:dyDescent="0.25">
      <c r="AY352" t="s">
        <v>564</v>
      </c>
    </row>
    <row r="353" spans="51:51" x14ac:dyDescent="0.25">
      <c r="AY353" t="s">
        <v>565</v>
      </c>
    </row>
    <row r="354" spans="51:51" x14ac:dyDescent="0.25">
      <c r="AY354" t="s">
        <v>566</v>
      </c>
    </row>
    <row r="355" spans="51:51" x14ac:dyDescent="0.25">
      <c r="AY355" t="s">
        <v>567</v>
      </c>
    </row>
    <row r="356" spans="51:51" x14ac:dyDescent="0.25">
      <c r="AY356" t="s">
        <v>568</v>
      </c>
    </row>
    <row r="357" spans="51:51" x14ac:dyDescent="0.25">
      <c r="AY357" t="s">
        <v>569</v>
      </c>
    </row>
    <row r="358" spans="51:51" x14ac:dyDescent="0.25">
      <c r="AY358" t="s">
        <v>570</v>
      </c>
    </row>
    <row r="359" spans="51:51" x14ac:dyDescent="0.25">
      <c r="AY359" t="s">
        <v>571</v>
      </c>
    </row>
    <row r="360" spans="51:51" x14ac:dyDescent="0.25">
      <c r="AY360" t="s">
        <v>572</v>
      </c>
    </row>
    <row r="361" spans="51:51" x14ac:dyDescent="0.25">
      <c r="AY361" t="s">
        <v>573</v>
      </c>
    </row>
    <row r="362" spans="51:51" x14ac:dyDescent="0.25">
      <c r="AY362" t="s">
        <v>574</v>
      </c>
    </row>
    <row r="363" spans="51:51" x14ac:dyDescent="0.25">
      <c r="AY363" t="s">
        <v>575</v>
      </c>
    </row>
    <row r="364" spans="51:51" x14ac:dyDescent="0.25">
      <c r="AY364" t="s">
        <v>576</v>
      </c>
    </row>
    <row r="365" spans="51:51" x14ac:dyDescent="0.25">
      <c r="AY365" t="s">
        <v>577</v>
      </c>
    </row>
    <row r="366" spans="51:51" x14ac:dyDescent="0.25">
      <c r="AY366" t="s">
        <v>578</v>
      </c>
    </row>
    <row r="367" spans="51:51" x14ac:dyDescent="0.25">
      <c r="AY367" t="s">
        <v>579</v>
      </c>
    </row>
    <row r="368" spans="51:51" x14ac:dyDescent="0.25">
      <c r="AY368" t="s">
        <v>580</v>
      </c>
    </row>
    <row r="369" spans="51:51" x14ac:dyDescent="0.25">
      <c r="AY369" t="s">
        <v>581</v>
      </c>
    </row>
    <row r="370" spans="51:51" x14ac:dyDescent="0.25">
      <c r="AY370" t="s">
        <v>582</v>
      </c>
    </row>
    <row r="371" spans="51:51" x14ac:dyDescent="0.25">
      <c r="AY371" t="s">
        <v>583</v>
      </c>
    </row>
    <row r="372" spans="51:51" x14ac:dyDescent="0.25">
      <c r="AY372" t="s">
        <v>584</v>
      </c>
    </row>
    <row r="373" spans="51:51" x14ac:dyDescent="0.25">
      <c r="AY373" t="s">
        <v>585</v>
      </c>
    </row>
    <row r="374" spans="51:51" x14ac:dyDescent="0.25">
      <c r="AY374" t="s">
        <v>586</v>
      </c>
    </row>
    <row r="375" spans="51:51" x14ac:dyDescent="0.25">
      <c r="AY375" t="s">
        <v>587</v>
      </c>
    </row>
    <row r="376" spans="51:51" x14ac:dyDescent="0.25">
      <c r="AY376" t="s">
        <v>588</v>
      </c>
    </row>
    <row r="377" spans="51:51" x14ac:dyDescent="0.25">
      <c r="AY377" t="s">
        <v>589</v>
      </c>
    </row>
    <row r="378" spans="51:51" x14ac:dyDescent="0.25">
      <c r="AY378" t="s">
        <v>590</v>
      </c>
    </row>
    <row r="379" spans="51:51" x14ac:dyDescent="0.25">
      <c r="AY379" t="s">
        <v>591</v>
      </c>
    </row>
    <row r="380" spans="51:51" x14ac:dyDescent="0.25">
      <c r="AY380" t="s">
        <v>592</v>
      </c>
    </row>
    <row r="381" spans="51:51" x14ac:dyDescent="0.25">
      <c r="AY381" t="s">
        <v>593</v>
      </c>
    </row>
    <row r="382" spans="51:51" x14ac:dyDescent="0.25">
      <c r="AY382" t="s">
        <v>594</v>
      </c>
    </row>
    <row r="383" spans="51:51" x14ac:dyDescent="0.25">
      <c r="AY383" t="s">
        <v>595</v>
      </c>
    </row>
    <row r="384" spans="51:51" x14ac:dyDescent="0.25">
      <c r="AY384" t="s">
        <v>596</v>
      </c>
    </row>
    <row r="385" spans="51:51" x14ac:dyDescent="0.25">
      <c r="AY385" t="s">
        <v>597</v>
      </c>
    </row>
    <row r="386" spans="51:51" x14ac:dyDescent="0.25">
      <c r="AY386" t="s">
        <v>598</v>
      </c>
    </row>
    <row r="387" spans="51:51" x14ac:dyDescent="0.25">
      <c r="AY387" t="s">
        <v>599</v>
      </c>
    </row>
    <row r="388" spans="51:51" x14ac:dyDescent="0.25">
      <c r="AY388" t="s">
        <v>600</v>
      </c>
    </row>
    <row r="389" spans="51:51" x14ac:dyDescent="0.25">
      <c r="AY389" t="s">
        <v>601</v>
      </c>
    </row>
    <row r="390" spans="51:51" x14ac:dyDescent="0.25">
      <c r="AY390" t="s">
        <v>602</v>
      </c>
    </row>
    <row r="391" spans="51:51" x14ac:dyDescent="0.25">
      <c r="AY391" t="s">
        <v>603</v>
      </c>
    </row>
    <row r="392" spans="51:51" x14ac:dyDescent="0.25">
      <c r="AY392" t="s">
        <v>604</v>
      </c>
    </row>
    <row r="393" spans="51:51" x14ac:dyDescent="0.25">
      <c r="AY393" t="s">
        <v>605</v>
      </c>
    </row>
    <row r="394" spans="51:51" x14ac:dyDescent="0.25">
      <c r="AY394" t="s">
        <v>606</v>
      </c>
    </row>
    <row r="395" spans="51:51" x14ac:dyDescent="0.25">
      <c r="AY395" t="s">
        <v>607</v>
      </c>
    </row>
    <row r="396" spans="51:51" x14ac:dyDescent="0.25">
      <c r="AY396" t="s">
        <v>608</v>
      </c>
    </row>
    <row r="397" spans="51:51" x14ac:dyDescent="0.25">
      <c r="AY397" t="s">
        <v>609</v>
      </c>
    </row>
    <row r="398" spans="51:51" x14ac:dyDescent="0.25">
      <c r="AY398" t="s">
        <v>610</v>
      </c>
    </row>
    <row r="399" spans="51:51" x14ac:dyDescent="0.25">
      <c r="AY399" t="s">
        <v>611</v>
      </c>
    </row>
    <row r="400" spans="51:51" x14ac:dyDescent="0.25">
      <c r="AY400" t="s">
        <v>612</v>
      </c>
    </row>
    <row r="401" spans="51:51" x14ac:dyDescent="0.25">
      <c r="AY401" t="s">
        <v>613</v>
      </c>
    </row>
    <row r="402" spans="51:51" x14ac:dyDescent="0.25">
      <c r="AY402" t="s">
        <v>614</v>
      </c>
    </row>
    <row r="403" spans="51:51" x14ac:dyDescent="0.25">
      <c r="AY403" t="s">
        <v>615</v>
      </c>
    </row>
    <row r="404" spans="51:51" x14ac:dyDescent="0.25">
      <c r="AY404" t="s">
        <v>616</v>
      </c>
    </row>
    <row r="405" spans="51:51" x14ac:dyDescent="0.25">
      <c r="AY405" t="s">
        <v>617</v>
      </c>
    </row>
    <row r="406" spans="51:51" x14ac:dyDescent="0.25">
      <c r="AY406" t="s">
        <v>618</v>
      </c>
    </row>
    <row r="407" spans="51:51" x14ac:dyDescent="0.25">
      <c r="AY407" t="s">
        <v>619</v>
      </c>
    </row>
    <row r="408" spans="51:51" x14ac:dyDescent="0.25">
      <c r="AY408" t="s">
        <v>620</v>
      </c>
    </row>
    <row r="409" spans="51:51" x14ac:dyDescent="0.25">
      <c r="AY409" t="s">
        <v>621</v>
      </c>
    </row>
    <row r="410" spans="51:51" x14ac:dyDescent="0.25">
      <c r="AY410" t="s">
        <v>622</v>
      </c>
    </row>
    <row r="411" spans="51:51" x14ac:dyDescent="0.25">
      <c r="AY411" t="s">
        <v>623</v>
      </c>
    </row>
    <row r="412" spans="51:51" x14ac:dyDescent="0.25">
      <c r="AY412" t="s">
        <v>624</v>
      </c>
    </row>
    <row r="413" spans="51:51" x14ac:dyDescent="0.25">
      <c r="AY413" t="s">
        <v>625</v>
      </c>
    </row>
    <row r="414" spans="51:51" x14ac:dyDescent="0.25">
      <c r="AY414" t="s">
        <v>626</v>
      </c>
    </row>
    <row r="415" spans="51:51" x14ac:dyDescent="0.25">
      <c r="AY415" t="s">
        <v>627</v>
      </c>
    </row>
    <row r="416" spans="51:51" x14ac:dyDescent="0.25">
      <c r="AY416" t="s">
        <v>628</v>
      </c>
    </row>
    <row r="417" spans="51:51" x14ac:dyDescent="0.25">
      <c r="AY417" t="s">
        <v>629</v>
      </c>
    </row>
    <row r="418" spans="51:51" x14ac:dyDescent="0.25">
      <c r="AY418" t="s">
        <v>630</v>
      </c>
    </row>
    <row r="419" spans="51:51" x14ac:dyDescent="0.25">
      <c r="AY419" t="s">
        <v>631</v>
      </c>
    </row>
    <row r="420" spans="51:51" x14ac:dyDescent="0.25">
      <c r="AY420" t="s">
        <v>632</v>
      </c>
    </row>
    <row r="421" spans="51:51" x14ac:dyDescent="0.25">
      <c r="AY421" t="s">
        <v>633</v>
      </c>
    </row>
    <row r="422" spans="51:51" x14ac:dyDescent="0.25">
      <c r="AY422" t="s">
        <v>634</v>
      </c>
    </row>
    <row r="423" spans="51:51" x14ac:dyDescent="0.25">
      <c r="AY423" t="s">
        <v>635</v>
      </c>
    </row>
    <row r="424" spans="51:51" x14ac:dyDescent="0.25">
      <c r="AY424" t="s">
        <v>636</v>
      </c>
    </row>
    <row r="425" spans="51:51" x14ac:dyDescent="0.25">
      <c r="AY425" t="s">
        <v>637</v>
      </c>
    </row>
    <row r="426" spans="51:51" x14ac:dyDescent="0.25">
      <c r="AY426" t="s">
        <v>638</v>
      </c>
    </row>
    <row r="427" spans="51:51" x14ac:dyDescent="0.25">
      <c r="AY427" t="s">
        <v>639</v>
      </c>
    </row>
    <row r="428" spans="51:51" x14ac:dyDescent="0.25">
      <c r="AY428" t="s">
        <v>640</v>
      </c>
    </row>
    <row r="429" spans="51:51" x14ac:dyDescent="0.25">
      <c r="AY429" t="s">
        <v>641</v>
      </c>
    </row>
    <row r="430" spans="51:51" x14ac:dyDescent="0.25">
      <c r="AY430" t="s">
        <v>642</v>
      </c>
    </row>
    <row r="431" spans="51:51" x14ac:dyDescent="0.25">
      <c r="AY431" t="s">
        <v>643</v>
      </c>
    </row>
    <row r="432" spans="51:51" x14ac:dyDescent="0.25">
      <c r="AY432" t="s">
        <v>644</v>
      </c>
    </row>
    <row r="433" spans="51:51" x14ac:dyDescent="0.25">
      <c r="AY433" t="s">
        <v>645</v>
      </c>
    </row>
    <row r="434" spans="51:51" x14ac:dyDescent="0.25">
      <c r="AY434" t="s">
        <v>646</v>
      </c>
    </row>
    <row r="435" spans="51:51" x14ac:dyDescent="0.25">
      <c r="AY435" t="s">
        <v>647</v>
      </c>
    </row>
    <row r="436" spans="51:51" x14ac:dyDescent="0.25">
      <c r="AY436" t="s">
        <v>648</v>
      </c>
    </row>
    <row r="437" spans="51:51" x14ac:dyDescent="0.25">
      <c r="AY437" t="s">
        <v>649</v>
      </c>
    </row>
    <row r="438" spans="51:51" x14ac:dyDescent="0.25">
      <c r="AY438" t="s">
        <v>650</v>
      </c>
    </row>
    <row r="439" spans="51:51" x14ac:dyDescent="0.25">
      <c r="AY439" t="s">
        <v>651</v>
      </c>
    </row>
    <row r="440" spans="51:51" x14ac:dyDescent="0.25">
      <c r="AY440" t="s">
        <v>652</v>
      </c>
    </row>
    <row r="441" spans="51:51" x14ac:dyDescent="0.25">
      <c r="AY441" t="s">
        <v>653</v>
      </c>
    </row>
    <row r="442" spans="51:51" x14ac:dyDescent="0.25">
      <c r="AY442" t="s">
        <v>654</v>
      </c>
    </row>
    <row r="443" spans="51:51" x14ac:dyDescent="0.25">
      <c r="AY443" t="s">
        <v>655</v>
      </c>
    </row>
    <row r="444" spans="51:51" x14ac:dyDescent="0.25">
      <c r="AY444" t="s">
        <v>656</v>
      </c>
    </row>
    <row r="445" spans="51:51" x14ac:dyDescent="0.25">
      <c r="AY445" t="s">
        <v>657</v>
      </c>
    </row>
    <row r="446" spans="51:51" x14ac:dyDescent="0.25">
      <c r="AY446" t="s">
        <v>658</v>
      </c>
    </row>
    <row r="447" spans="51:51" x14ac:dyDescent="0.25">
      <c r="AY447" t="s">
        <v>659</v>
      </c>
    </row>
    <row r="448" spans="51:51" x14ac:dyDescent="0.25">
      <c r="AY448" t="s">
        <v>660</v>
      </c>
    </row>
    <row r="449" spans="51:51" x14ac:dyDescent="0.25">
      <c r="AY449" t="s">
        <v>661</v>
      </c>
    </row>
    <row r="450" spans="51:51" x14ac:dyDescent="0.25">
      <c r="AY450" t="s">
        <v>662</v>
      </c>
    </row>
    <row r="451" spans="51:51" x14ac:dyDescent="0.25">
      <c r="AY451" t="s">
        <v>663</v>
      </c>
    </row>
    <row r="452" spans="51:51" x14ac:dyDescent="0.25">
      <c r="AY452" t="s">
        <v>664</v>
      </c>
    </row>
    <row r="453" spans="51:51" x14ac:dyDescent="0.25">
      <c r="AY453" t="s">
        <v>665</v>
      </c>
    </row>
    <row r="454" spans="51:51" x14ac:dyDescent="0.25">
      <c r="AY454" t="s">
        <v>666</v>
      </c>
    </row>
    <row r="455" spans="51:51" x14ac:dyDescent="0.25">
      <c r="AY455" t="s">
        <v>667</v>
      </c>
    </row>
    <row r="456" spans="51:51" x14ac:dyDescent="0.25">
      <c r="AY456" t="s">
        <v>668</v>
      </c>
    </row>
    <row r="457" spans="51:51" x14ac:dyDescent="0.25">
      <c r="AY457" t="s">
        <v>669</v>
      </c>
    </row>
    <row r="458" spans="51:51" x14ac:dyDescent="0.25">
      <c r="AY458" t="s">
        <v>670</v>
      </c>
    </row>
    <row r="459" spans="51:51" x14ac:dyDescent="0.25">
      <c r="AY459" t="s">
        <v>671</v>
      </c>
    </row>
    <row r="460" spans="51:51" x14ac:dyDescent="0.25">
      <c r="AY460" t="s">
        <v>672</v>
      </c>
    </row>
    <row r="461" spans="51:51" x14ac:dyDescent="0.25">
      <c r="AY461" t="s">
        <v>673</v>
      </c>
    </row>
    <row r="462" spans="51:51" x14ac:dyDescent="0.25">
      <c r="AY462" t="s">
        <v>674</v>
      </c>
    </row>
    <row r="463" spans="51:51" x14ac:dyDescent="0.25">
      <c r="AY463" t="s">
        <v>675</v>
      </c>
    </row>
    <row r="464" spans="51:51" x14ac:dyDescent="0.25">
      <c r="AY464" t="s">
        <v>676</v>
      </c>
    </row>
    <row r="465" spans="51:51" x14ac:dyDescent="0.25">
      <c r="AY465" t="s">
        <v>677</v>
      </c>
    </row>
    <row r="466" spans="51:51" x14ac:dyDescent="0.25">
      <c r="AY466" t="s">
        <v>678</v>
      </c>
    </row>
    <row r="467" spans="51:51" x14ac:dyDescent="0.25">
      <c r="AY467" t="s">
        <v>679</v>
      </c>
    </row>
    <row r="468" spans="51:51" x14ac:dyDescent="0.25">
      <c r="AY468" t="s">
        <v>680</v>
      </c>
    </row>
    <row r="469" spans="51:51" x14ac:dyDescent="0.25">
      <c r="AY469" t="s">
        <v>681</v>
      </c>
    </row>
    <row r="470" spans="51:51" x14ac:dyDescent="0.25">
      <c r="AY470" t="s">
        <v>682</v>
      </c>
    </row>
    <row r="471" spans="51:51" x14ac:dyDescent="0.25">
      <c r="AY471" t="s">
        <v>683</v>
      </c>
    </row>
    <row r="472" spans="51:51" x14ac:dyDescent="0.25">
      <c r="AY472" t="s">
        <v>684</v>
      </c>
    </row>
    <row r="473" spans="51:51" x14ac:dyDescent="0.25">
      <c r="AY473" t="s">
        <v>685</v>
      </c>
    </row>
    <row r="474" spans="51:51" x14ac:dyDescent="0.25">
      <c r="AY474" t="s">
        <v>686</v>
      </c>
    </row>
    <row r="475" spans="51:51" x14ac:dyDescent="0.25">
      <c r="AY475" t="s">
        <v>687</v>
      </c>
    </row>
    <row r="476" spans="51:51" x14ac:dyDescent="0.25">
      <c r="AY476" t="s">
        <v>688</v>
      </c>
    </row>
    <row r="477" spans="51:51" x14ac:dyDescent="0.25">
      <c r="AY477" t="s">
        <v>689</v>
      </c>
    </row>
    <row r="478" spans="51:51" x14ac:dyDescent="0.25">
      <c r="AY478" t="s">
        <v>690</v>
      </c>
    </row>
    <row r="479" spans="51:51" x14ac:dyDescent="0.25">
      <c r="AY479" t="s">
        <v>691</v>
      </c>
    </row>
    <row r="480" spans="51:51" x14ac:dyDescent="0.25">
      <c r="AY480" t="s">
        <v>692</v>
      </c>
    </row>
    <row r="481" spans="51:51" x14ac:dyDescent="0.25">
      <c r="AY481" t="s">
        <v>693</v>
      </c>
    </row>
    <row r="482" spans="51:51" x14ac:dyDescent="0.25">
      <c r="AY482" t="s">
        <v>694</v>
      </c>
    </row>
    <row r="483" spans="51:51" x14ac:dyDescent="0.25">
      <c r="AY483" t="s">
        <v>695</v>
      </c>
    </row>
    <row r="484" spans="51:51" x14ac:dyDescent="0.25">
      <c r="AY484" t="s">
        <v>696</v>
      </c>
    </row>
    <row r="485" spans="51:51" x14ac:dyDescent="0.25">
      <c r="AY485" t="s">
        <v>697</v>
      </c>
    </row>
    <row r="486" spans="51:51" x14ac:dyDescent="0.25">
      <c r="AY486" t="s">
        <v>698</v>
      </c>
    </row>
    <row r="487" spans="51:51" x14ac:dyDescent="0.25">
      <c r="AY487" t="s">
        <v>699</v>
      </c>
    </row>
    <row r="488" spans="51:51" x14ac:dyDescent="0.25">
      <c r="AY488" t="s">
        <v>700</v>
      </c>
    </row>
    <row r="489" spans="51:51" x14ac:dyDescent="0.25">
      <c r="AY489" t="s">
        <v>701</v>
      </c>
    </row>
    <row r="490" spans="51:51" x14ac:dyDescent="0.25">
      <c r="AY490" t="s">
        <v>702</v>
      </c>
    </row>
    <row r="491" spans="51:51" x14ac:dyDescent="0.25">
      <c r="AY491" t="s">
        <v>703</v>
      </c>
    </row>
    <row r="492" spans="51:51" x14ac:dyDescent="0.25">
      <c r="AY492" t="s">
        <v>704</v>
      </c>
    </row>
    <row r="493" spans="51:51" x14ac:dyDescent="0.25">
      <c r="AY493" t="s">
        <v>705</v>
      </c>
    </row>
    <row r="494" spans="51:51" x14ac:dyDescent="0.25">
      <c r="AY494" t="s">
        <v>706</v>
      </c>
    </row>
    <row r="495" spans="51:51" x14ac:dyDescent="0.25">
      <c r="AY495" t="s">
        <v>707</v>
      </c>
    </row>
    <row r="496" spans="51:51" x14ac:dyDescent="0.25">
      <c r="AY496" t="s">
        <v>708</v>
      </c>
    </row>
    <row r="497" spans="51:51" x14ac:dyDescent="0.25">
      <c r="AY497" t="s">
        <v>709</v>
      </c>
    </row>
    <row r="498" spans="51:51" x14ac:dyDescent="0.25">
      <c r="AY498" t="s">
        <v>710</v>
      </c>
    </row>
    <row r="499" spans="51:51" x14ac:dyDescent="0.25">
      <c r="AY499" t="s">
        <v>711</v>
      </c>
    </row>
    <row r="500" spans="51:51" x14ac:dyDescent="0.25">
      <c r="AY500" t="s">
        <v>712</v>
      </c>
    </row>
    <row r="501" spans="51:51" x14ac:dyDescent="0.25">
      <c r="AY501" t="s">
        <v>713</v>
      </c>
    </row>
    <row r="502" spans="51:51" x14ac:dyDescent="0.25">
      <c r="AY502" t="s">
        <v>714</v>
      </c>
    </row>
    <row r="503" spans="51:51" x14ac:dyDescent="0.25">
      <c r="AY503" t="s">
        <v>715</v>
      </c>
    </row>
    <row r="504" spans="51:51" x14ac:dyDescent="0.25">
      <c r="AY504" t="s">
        <v>716</v>
      </c>
    </row>
    <row r="505" spans="51:51" x14ac:dyDescent="0.25">
      <c r="AY505" t="s">
        <v>717</v>
      </c>
    </row>
    <row r="506" spans="51:51" x14ac:dyDescent="0.25">
      <c r="AY506" t="s">
        <v>718</v>
      </c>
    </row>
    <row r="507" spans="51:51" x14ac:dyDescent="0.25">
      <c r="AY507" t="s">
        <v>719</v>
      </c>
    </row>
    <row r="508" spans="51:51" x14ac:dyDescent="0.25">
      <c r="AY508" t="s">
        <v>720</v>
      </c>
    </row>
    <row r="509" spans="51:51" x14ac:dyDescent="0.25">
      <c r="AY509" t="s">
        <v>721</v>
      </c>
    </row>
    <row r="510" spans="51:51" x14ac:dyDescent="0.25">
      <c r="AY510" t="s">
        <v>722</v>
      </c>
    </row>
    <row r="511" spans="51:51" x14ac:dyDescent="0.25">
      <c r="AY511" t="s">
        <v>723</v>
      </c>
    </row>
    <row r="512" spans="51:51" x14ac:dyDescent="0.25">
      <c r="AY512" t="s">
        <v>724</v>
      </c>
    </row>
    <row r="513" spans="51:51" x14ac:dyDescent="0.25">
      <c r="AY513" t="s">
        <v>725</v>
      </c>
    </row>
    <row r="514" spans="51:51" x14ac:dyDescent="0.25">
      <c r="AY514" t="s">
        <v>726</v>
      </c>
    </row>
    <row r="515" spans="51:51" x14ac:dyDescent="0.25">
      <c r="AY515" t="s">
        <v>727</v>
      </c>
    </row>
    <row r="516" spans="51:51" x14ac:dyDescent="0.25">
      <c r="AY516" t="s">
        <v>728</v>
      </c>
    </row>
    <row r="517" spans="51:51" x14ac:dyDescent="0.25">
      <c r="AY517" t="s">
        <v>729</v>
      </c>
    </row>
    <row r="518" spans="51:51" x14ac:dyDescent="0.25">
      <c r="AY518" t="s">
        <v>730</v>
      </c>
    </row>
    <row r="519" spans="51:51" x14ac:dyDescent="0.25">
      <c r="AY519" t="s">
        <v>731</v>
      </c>
    </row>
    <row r="520" spans="51:51" x14ac:dyDescent="0.25">
      <c r="AY520" t="s">
        <v>732</v>
      </c>
    </row>
    <row r="521" spans="51:51" x14ac:dyDescent="0.25">
      <c r="AY521" t="s">
        <v>733</v>
      </c>
    </row>
    <row r="522" spans="51:51" x14ac:dyDescent="0.25">
      <c r="AY522" t="s">
        <v>734</v>
      </c>
    </row>
    <row r="523" spans="51:51" x14ac:dyDescent="0.25">
      <c r="AY523" t="s">
        <v>735</v>
      </c>
    </row>
    <row r="524" spans="51:51" x14ac:dyDescent="0.25">
      <c r="AY524" t="s">
        <v>736</v>
      </c>
    </row>
    <row r="525" spans="51:51" x14ac:dyDescent="0.25">
      <c r="AY525" t="s">
        <v>737</v>
      </c>
    </row>
    <row r="526" spans="51:51" x14ac:dyDescent="0.25">
      <c r="AY526" t="s">
        <v>738</v>
      </c>
    </row>
    <row r="527" spans="51:51" x14ac:dyDescent="0.25">
      <c r="AY527" t="s">
        <v>739</v>
      </c>
    </row>
    <row r="528" spans="51:51" x14ac:dyDescent="0.25">
      <c r="AY528" t="s">
        <v>740</v>
      </c>
    </row>
    <row r="529" spans="51:51" x14ac:dyDescent="0.25">
      <c r="AY529" t="s">
        <v>741</v>
      </c>
    </row>
    <row r="530" spans="51:51" x14ac:dyDescent="0.25">
      <c r="AY530" t="s">
        <v>742</v>
      </c>
    </row>
    <row r="531" spans="51:51" x14ac:dyDescent="0.25">
      <c r="AY531" t="s">
        <v>743</v>
      </c>
    </row>
    <row r="532" spans="51:51" x14ac:dyDescent="0.25">
      <c r="AY532" t="s">
        <v>744</v>
      </c>
    </row>
    <row r="533" spans="51:51" x14ac:dyDescent="0.25">
      <c r="AY533" t="s">
        <v>745</v>
      </c>
    </row>
    <row r="534" spans="51:51" x14ac:dyDescent="0.25">
      <c r="AY534" t="s">
        <v>746</v>
      </c>
    </row>
    <row r="535" spans="51:51" x14ac:dyDescent="0.25">
      <c r="AY535" t="s">
        <v>747</v>
      </c>
    </row>
    <row r="536" spans="51:51" x14ac:dyDescent="0.25">
      <c r="AY536" t="s">
        <v>748</v>
      </c>
    </row>
    <row r="537" spans="51:51" x14ac:dyDescent="0.25">
      <c r="AY537" t="s">
        <v>749</v>
      </c>
    </row>
    <row r="538" spans="51:51" x14ac:dyDescent="0.25">
      <c r="AY538" t="s">
        <v>750</v>
      </c>
    </row>
    <row r="539" spans="51:51" x14ac:dyDescent="0.25">
      <c r="AY539" t="s">
        <v>751</v>
      </c>
    </row>
    <row r="540" spans="51:51" x14ac:dyDescent="0.25">
      <c r="AY540" t="s">
        <v>752</v>
      </c>
    </row>
    <row r="541" spans="51:51" x14ac:dyDescent="0.25">
      <c r="AY541" t="s">
        <v>753</v>
      </c>
    </row>
    <row r="542" spans="51:51" x14ac:dyDescent="0.25">
      <c r="AY542" t="s">
        <v>754</v>
      </c>
    </row>
    <row r="543" spans="51:51" x14ac:dyDescent="0.25">
      <c r="AY543" t="s">
        <v>755</v>
      </c>
    </row>
    <row r="544" spans="51:51" x14ac:dyDescent="0.25">
      <c r="AY544" t="s">
        <v>756</v>
      </c>
    </row>
    <row r="545" spans="51:51" x14ac:dyDescent="0.25">
      <c r="AY545" t="s">
        <v>757</v>
      </c>
    </row>
    <row r="546" spans="51:51" x14ac:dyDescent="0.25">
      <c r="AY546" t="s">
        <v>758</v>
      </c>
    </row>
    <row r="547" spans="51:51" x14ac:dyDescent="0.25">
      <c r="AY547" t="s">
        <v>759</v>
      </c>
    </row>
    <row r="548" spans="51:51" x14ac:dyDescent="0.25">
      <c r="AY548" t="s">
        <v>760</v>
      </c>
    </row>
    <row r="549" spans="51:51" x14ac:dyDescent="0.25">
      <c r="AY549" t="s">
        <v>761</v>
      </c>
    </row>
    <row r="550" spans="51:51" x14ac:dyDescent="0.25">
      <c r="AY550" t="s">
        <v>762</v>
      </c>
    </row>
    <row r="551" spans="51:51" x14ac:dyDescent="0.25">
      <c r="AY551" t="s">
        <v>763</v>
      </c>
    </row>
    <row r="552" spans="51:51" x14ac:dyDescent="0.25">
      <c r="AY552" t="s">
        <v>764</v>
      </c>
    </row>
    <row r="553" spans="51:51" x14ac:dyDescent="0.25">
      <c r="AY553" t="s">
        <v>765</v>
      </c>
    </row>
    <row r="554" spans="51:51" x14ac:dyDescent="0.25">
      <c r="AY554" t="s">
        <v>766</v>
      </c>
    </row>
    <row r="555" spans="51:51" x14ac:dyDescent="0.25">
      <c r="AY555" t="s">
        <v>767</v>
      </c>
    </row>
    <row r="556" spans="51:51" x14ac:dyDescent="0.25">
      <c r="AY556" t="s">
        <v>768</v>
      </c>
    </row>
    <row r="557" spans="51:51" x14ac:dyDescent="0.25">
      <c r="AY557" t="s">
        <v>769</v>
      </c>
    </row>
    <row r="558" spans="51:51" x14ac:dyDescent="0.25">
      <c r="AY558" t="s">
        <v>770</v>
      </c>
    </row>
    <row r="559" spans="51:51" x14ac:dyDescent="0.25">
      <c r="AY559" t="s">
        <v>771</v>
      </c>
    </row>
    <row r="560" spans="51:51" x14ac:dyDescent="0.25">
      <c r="AY560" t="s">
        <v>772</v>
      </c>
    </row>
    <row r="561" spans="51:51" x14ac:dyDescent="0.25">
      <c r="AY561" t="s">
        <v>773</v>
      </c>
    </row>
    <row r="562" spans="51:51" x14ac:dyDescent="0.25">
      <c r="AY562" t="s">
        <v>774</v>
      </c>
    </row>
    <row r="563" spans="51:51" x14ac:dyDescent="0.25">
      <c r="AY563" t="s">
        <v>775</v>
      </c>
    </row>
    <row r="564" spans="51:51" x14ac:dyDescent="0.25">
      <c r="AY564" t="s">
        <v>776</v>
      </c>
    </row>
    <row r="565" spans="51:51" x14ac:dyDescent="0.25">
      <c r="AY565" t="s">
        <v>777</v>
      </c>
    </row>
    <row r="566" spans="51:51" x14ac:dyDescent="0.25">
      <c r="AY566" t="s">
        <v>778</v>
      </c>
    </row>
    <row r="567" spans="51:51" x14ac:dyDescent="0.25">
      <c r="AY567" t="s">
        <v>779</v>
      </c>
    </row>
    <row r="568" spans="51:51" x14ac:dyDescent="0.25">
      <c r="AY568" t="s">
        <v>780</v>
      </c>
    </row>
    <row r="569" spans="51:51" x14ac:dyDescent="0.25">
      <c r="AY569" t="s">
        <v>781</v>
      </c>
    </row>
    <row r="570" spans="51:51" x14ac:dyDescent="0.25">
      <c r="AY570" t="s">
        <v>782</v>
      </c>
    </row>
    <row r="571" spans="51:51" x14ac:dyDescent="0.25">
      <c r="AY571" t="s">
        <v>783</v>
      </c>
    </row>
    <row r="572" spans="51:51" x14ac:dyDescent="0.25">
      <c r="AY572" t="s">
        <v>784</v>
      </c>
    </row>
    <row r="573" spans="51:51" x14ac:dyDescent="0.25">
      <c r="AY573" t="s">
        <v>785</v>
      </c>
    </row>
    <row r="574" spans="51:51" x14ac:dyDescent="0.25">
      <c r="AY574" t="s">
        <v>786</v>
      </c>
    </row>
    <row r="575" spans="51:51" x14ac:dyDescent="0.25">
      <c r="AY575" t="s">
        <v>787</v>
      </c>
    </row>
    <row r="576" spans="51:51" x14ac:dyDescent="0.25">
      <c r="AY576" t="s">
        <v>788</v>
      </c>
    </row>
    <row r="577" spans="51:51" x14ac:dyDescent="0.25">
      <c r="AY577" t="s">
        <v>789</v>
      </c>
    </row>
    <row r="578" spans="51:51" x14ac:dyDescent="0.25">
      <c r="AY578" t="s">
        <v>790</v>
      </c>
    </row>
    <row r="579" spans="51:51" x14ac:dyDescent="0.25">
      <c r="AY579" t="s">
        <v>791</v>
      </c>
    </row>
    <row r="580" spans="51:51" x14ac:dyDescent="0.25">
      <c r="AY580" t="s">
        <v>792</v>
      </c>
    </row>
    <row r="581" spans="51:51" x14ac:dyDescent="0.25">
      <c r="AY581" t="s">
        <v>793</v>
      </c>
    </row>
    <row r="582" spans="51:51" x14ac:dyDescent="0.25">
      <c r="AY582" t="s">
        <v>794</v>
      </c>
    </row>
    <row r="583" spans="51:51" x14ac:dyDescent="0.25">
      <c r="AY583" t="s">
        <v>795</v>
      </c>
    </row>
    <row r="584" spans="51:51" x14ac:dyDescent="0.25">
      <c r="AY584" t="s">
        <v>796</v>
      </c>
    </row>
    <row r="585" spans="51:51" x14ac:dyDescent="0.25">
      <c r="AY585" t="s">
        <v>797</v>
      </c>
    </row>
    <row r="586" spans="51:51" x14ac:dyDescent="0.25">
      <c r="AY586" t="s">
        <v>798</v>
      </c>
    </row>
    <row r="587" spans="51:51" x14ac:dyDescent="0.25">
      <c r="AY587" t="s">
        <v>799</v>
      </c>
    </row>
    <row r="588" spans="51:51" x14ac:dyDescent="0.25">
      <c r="AY588" t="s">
        <v>800</v>
      </c>
    </row>
    <row r="589" spans="51:51" x14ac:dyDescent="0.25">
      <c r="AY589" t="s">
        <v>801</v>
      </c>
    </row>
    <row r="590" spans="51:51" x14ac:dyDescent="0.25">
      <c r="AY590" t="s">
        <v>802</v>
      </c>
    </row>
    <row r="591" spans="51:51" x14ac:dyDescent="0.25">
      <c r="AY591" t="s">
        <v>803</v>
      </c>
    </row>
    <row r="592" spans="51:51" x14ac:dyDescent="0.25">
      <c r="AY592" t="s">
        <v>804</v>
      </c>
    </row>
    <row r="593" spans="51:51" x14ac:dyDescent="0.25">
      <c r="AY593" t="s">
        <v>805</v>
      </c>
    </row>
    <row r="594" spans="51:51" x14ac:dyDescent="0.25">
      <c r="AY594" t="s">
        <v>806</v>
      </c>
    </row>
    <row r="595" spans="51:51" x14ac:dyDescent="0.25">
      <c r="AY595" t="s">
        <v>807</v>
      </c>
    </row>
    <row r="596" spans="51:51" x14ac:dyDescent="0.25">
      <c r="AY596" t="s">
        <v>808</v>
      </c>
    </row>
    <row r="597" spans="51:51" x14ac:dyDescent="0.25">
      <c r="AY597" t="s">
        <v>809</v>
      </c>
    </row>
    <row r="598" spans="51:51" x14ac:dyDescent="0.25">
      <c r="AY598" t="s">
        <v>810</v>
      </c>
    </row>
    <row r="599" spans="51:51" x14ac:dyDescent="0.25">
      <c r="AY599" t="s">
        <v>811</v>
      </c>
    </row>
    <row r="600" spans="51:51" x14ac:dyDescent="0.25">
      <c r="AY600" t="s">
        <v>812</v>
      </c>
    </row>
    <row r="601" spans="51:51" x14ac:dyDescent="0.25">
      <c r="AY601" t="s">
        <v>813</v>
      </c>
    </row>
    <row r="602" spans="51:51" x14ac:dyDescent="0.25">
      <c r="AY602" t="s">
        <v>814</v>
      </c>
    </row>
    <row r="603" spans="51:51" x14ac:dyDescent="0.25">
      <c r="AY603" t="s">
        <v>815</v>
      </c>
    </row>
    <row r="604" spans="51:51" x14ac:dyDescent="0.25">
      <c r="AY604" t="s">
        <v>816</v>
      </c>
    </row>
    <row r="605" spans="51:51" x14ac:dyDescent="0.25">
      <c r="AY605" t="s">
        <v>817</v>
      </c>
    </row>
    <row r="606" spans="51:51" x14ac:dyDescent="0.25">
      <c r="AY606" t="s">
        <v>818</v>
      </c>
    </row>
    <row r="607" spans="51:51" x14ac:dyDescent="0.25">
      <c r="AY607" t="s">
        <v>819</v>
      </c>
    </row>
    <row r="608" spans="51:51" x14ac:dyDescent="0.25">
      <c r="AY608" t="s">
        <v>820</v>
      </c>
    </row>
    <row r="609" spans="51:51" x14ac:dyDescent="0.25">
      <c r="AY609" t="s">
        <v>821</v>
      </c>
    </row>
    <row r="610" spans="51:51" x14ac:dyDescent="0.25">
      <c r="AY610" t="s">
        <v>822</v>
      </c>
    </row>
    <row r="611" spans="51:51" x14ac:dyDescent="0.25">
      <c r="AY611" t="s">
        <v>823</v>
      </c>
    </row>
    <row r="612" spans="51:51" x14ac:dyDescent="0.25">
      <c r="AY612" t="s">
        <v>824</v>
      </c>
    </row>
    <row r="613" spans="51:51" x14ac:dyDescent="0.25">
      <c r="AY613" t="s">
        <v>825</v>
      </c>
    </row>
    <row r="614" spans="51:51" x14ac:dyDescent="0.25">
      <c r="AY614" t="s">
        <v>826</v>
      </c>
    </row>
    <row r="615" spans="51:51" x14ac:dyDescent="0.25">
      <c r="AY615" t="s">
        <v>827</v>
      </c>
    </row>
    <row r="616" spans="51:51" x14ac:dyDescent="0.25">
      <c r="AY616" t="s">
        <v>828</v>
      </c>
    </row>
    <row r="617" spans="51:51" x14ac:dyDescent="0.25">
      <c r="AY617" t="s">
        <v>829</v>
      </c>
    </row>
    <row r="618" spans="51:51" x14ac:dyDescent="0.25">
      <c r="AY618" t="s">
        <v>830</v>
      </c>
    </row>
    <row r="619" spans="51:51" x14ac:dyDescent="0.25">
      <c r="AY619" t="s">
        <v>831</v>
      </c>
    </row>
    <row r="620" spans="51:51" x14ac:dyDescent="0.25">
      <c r="AY620" t="s">
        <v>832</v>
      </c>
    </row>
    <row r="621" spans="51:51" x14ac:dyDescent="0.25">
      <c r="AY621" t="s">
        <v>833</v>
      </c>
    </row>
    <row r="622" spans="51:51" x14ac:dyDescent="0.25">
      <c r="AY622" t="s">
        <v>834</v>
      </c>
    </row>
    <row r="623" spans="51:51" x14ac:dyDescent="0.25">
      <c r="AY623" t="s">
        <v>835</v>
      </c>
    </row>
    <row r="624" spans="51:51" x14ac:dyDescent="0.25">
      <c r="AY624" t="s">
        <v>836</v>
      </c>
    </row>
    <row r="625" spans="51:51" x14ac:dyDescent="0.25">
      <c r="AY625" t="s">
        <v>837</v>
      </c>
    </row>
    <row r="626" spans="51:51" x14ac:dyDescent="0.25">
      <c r="AY626" t="s">
        <v>838</v>
      </c>
    </row>
    <row r="627" spans="51:51" x14ac:dyDescent="0.25">
      <c r="AY627" t="s">
        <v>839</v>
      </c>
    </row>
    <row r="628" spans="51:51" x14ac:dyDescent="0.25">
      <c r="AY628" t="s">
        <v>840</v>
      </c>
    </row>
    <row r="629" spans="51:51" x14ac:dyDescent="0.25">
      <c r="AY629" t="s">
        <v>841</v>
      </c>
    </row>
    <row r="630" spans="51:51" x14ac:dyDescent="0.25">
      <c r="AY630" t="s">
        <v>842</v>
      </c>
    </row>
    <row r="631" spans="51:51" x14ac:dyDescent="0.25">
      <c r="AY631" t="s">
        <v>843</v>
      </c>
    </row>
    <row r="632" spans="51:51" x14ac:dyDescent="0.25">
      <c r="AY632" t="s">
        <v>844</v>
      </c>
    </row>
    <row r="633" spans="51:51" x14ac:dyDescent="0.25">
      <c r="AY633" t="s">
        <v>845</v>
      </c>
    </row>
    <row r="634" spans="51:51" x14ac:dyDescent="0.25">
      <c r="AY634" t="s">
        <v>846</v>
      </c>
    </row>
    <row r="635" spans="51:51" x14ac:dyDescent="0.25">
      <c r="AY635" t="s">
        <v>847</v>
      </c>
    </row>
    <row r="636" spans="51:51" x14ac:dyDescent="0.25">
      <c r="AY636" t="s">
        <v>848</v>
      </c>
    </row>
    <row r="637" spans="51:51" x14ac:dyDescent="0.25">
      <c r="AY637" t="s">
        <v>849</v>
      </c>
    </row>
    <row r="638" spans="51:51" x14ac:dyDescent="0.25">
      <c r="AY638" t="s">
        <v>850</v>
      </c>
    </row>
    <row r="639" spans="51:51" x14ac:dyDescent="0.25">
      <c r="AY639" t="s">
        <v>851</v>
      </c>
    </row>
    <row r="640" spans="51:51" x14ac:dyDescent="0.25">
      <c r="AY640" t="s">
        <v>852</v>
      </c>
    </row>
    <row r="641" spans="51:51" x14ac:dyDescent="0.25">
      <c r="AY641" t="s">
        <v>853</v>
      </c>
    </row>
    <row r="642" spans="51:51" x14ac:dyDescent="0.25">
      <c r="AY642" t="s">
        <v>854</v>
      </c>
    </row>
    <row r="643" spans="51:51" x14ac:dyDescent="0.25">
      <c r="AY643" t="s">
        <v>855</v>
      </c>
    </row>
    <row r="644" spans="51:51" x14ac:dyDescent="0.25">
      <c r="AY644" t="s">
        <v>856</v>
      </c>
    </row>
    <row r="645" spans="51:51" x14ac:dyDescent="0.25">
      <c r="AY645" t="s">
        <v>857</v>
      </c>
    </row>
    <row r="646" spans="51:51" x14ac:dyDescent="0.25">
      <c r="AY646" t="s">
        <v>858</v>
      </c>
    </row>
    <row r="647" spans="51:51" x14ac:dyDescent="0.25">
      <c r="AY647" t="s">
        <v>859</v>
      </c>
    </row>
    <row r="648" spans="51:51" x14ac:dyDescent="0.25">
      <c r="AY648" t="s">
        <v>860</v>
      </c>
    </row>
    <row r="649" spans="51:51" x14ac:dyDescent="0.25">
      <c r="AY649" t="s">
        <v>861</v>
      </c>
    </row>
    <row r="650" spans="51:51" x14ac:dyDescent="0.25">
      <c r="AY650" t="s">
        <v>862</v>
      </c>
    </row>
    <row r="651" spans="51:51" x14ac:dyDescent="0.25">
      <c r="AY651" t="s">
        <v>863</v>
      </c>
    </row>
    <row r="652" spans="51:51" x14ac:dyDescent="0.25">
      <c r="AY652" t="s">
        <v>864</v>
      </c>
    </row>
    <row r="653" spans="51:51" x14ac:dyDescent="0.25">
      <c r="AY653" t="s">
        <v>865</v>
      </c>
    </row>
    <row r="654" spans="51:51" x14ac:dyDescent="0.25">
      <c r="AY654" t="s">
        <v>866</v>
      </c>
    </row>
    <row r="655" spans="51:51" x14ac:dyDescent="0.25">
      <c r="AY655" t="s">
        <v>867</v>
      </c>
    </row>
    <row r="656" spans="51:51" x14ac:dyDescent="0.25">
      <c r="AY656" t="s">
        <v>868</v>
      </c>
    </row>
    <row r="657" spans="51:51" x14ac:dyDescent="0.25">
      <c r="AY657" t="s">
        <v>869</v>
      </c>
    </row>
    <row r="658" spans="51:51" x14ac:dyDescent="0.25">
      <c r="AY658" t="s">
        <v>870</v>
      </c>
    </row>
    <row r="659" spans="51:51" x14ac:dyDescent="0.25">
      <c r="AY659" t="s">
        <v>871</v>
      </c>
    </row>
    <row r="660" spans="51:51" x14ac:dyDescent="0.25">
      <c r="AY660" t="s">
        <v>872</v>
      </c>
    </row>
    <row r="661" spans="51:51" x14ac:dyDescent="0.25">
      <c r="AY661" t="s">
        <v>873</v>
      </c>
    </row>
    <row r="662" spans="51:51" x14ac:dyDescent="0.25">
      <c r="AY662" t="s">
        <v>874</v>
      </c>
    </row>
    <row r="663" spans="51:51" x14ac:dyDescent="0.25">
      <c r="AY663" t="s">
        <v>875</v>
      </c>
    </row>
    <row r="664" spans="51:51" x14ac:dyDescent="0.25">
      <c r="AY664" t="s">
        <v>876</v>
      </c>
    </row>
    <row r="665" spans="51:51" x14ac:dyDescent="0.25">
      <c r="AY665" t="s">
        <v>877</v>
      </c>
    </row>
    <row r="666" spans="51:51" x14ac:dyDescent="0.25">
      <c r="AY666" t="s">
        <v>878</v>
      </c>
    </row>
    <row r="667" spans="51:51" x14ac:dyDescent="0.25">
      <c r="AY667" t="s">
        <v>879</v>
      </c>
    </row>
    <row r="668" spans="51:51" x14ac:dyDescent="0.25">
      <c r="AY668" t="s">
        <v>880</v>
      </c>
    </row>
    <row r="669" spans="51:51" x14ac:dyDescent="0.25">
      <c r="AY669" t="s">
        <v>881</v>
      </c>
    </row>
    <row r="670" spans="51:51" x14ac:dyDescent="0.25">
      <c r="AY670" t="s">
        <v>882</v>
      </c>
    </row>
    <row r="671" spans="51:51" x14ac:dyDescent="0.25">
      <c r="AY671" t="s">
        <v>883</v>
      </c>
    </row>
    <row r="672" spans="51:51" x14ac:dyDescent="0.25">
      <c r="AY672" t="s">
        <v>884</v>
      </c>
    </row>
    <row r="673" spans="51:51" x14ac:dyDescent="0.25">
      <c r="AY673" t="s">
        <v>885</v>
      </c>
    </row>
    <row r="674" spans="51:51" x14ac:dyDescent="0.25">
      <c r="AY674" t="s">
        <v>886</v>
      </c>
    </row>
    <row r="675" spans="51:51" x14ac:dyDescent="0.25">
      <c r="AY675" t="s">
        <v>887</v>
      </c>
    </row>
    <row r="676" spans="51:51" x14ac:dyDescent="0.25">
      <c r="AY676" t="s">
        <v>888</v>
      </c>
    </row>
    <row r="677" spans="51:51" x14ac:dyDescent="0.25">
      <c r="AY677" t="s">
        <v>889</v>
      </c>
    </row>
    <row r="678" spans="51:51" x14ac:dyDescent="0.25">
      <c r="AY678" t="s">
        <v>890</v>
      </c>
    </row>
    <row r="679" spans="51:51" x14ac:dyDescent="0.25">
      <c r="AY679" t="s">
        <v>891</v>
      </c>
    </row>
    <row r="680" spans="51:51" x14ac:dyDescent="0.25">
      <c r="AY680" t="s">
        <v>892</v>
      </c>
    </row>
    <row r="681" spans="51:51" x14ac:dyDescent="0.25">
      <c r="AY681" t="s">
        <v>893</v>
      </c>
    </row>
    <row r="682" spans="51:51" x14ac:dyDescent="0.25">
      <c r="AY682" t="s">
        <v>894</v>
      </c>
    </row>
    <row r="683" spans="51:51" x14ac:dyDescent="0.25">
      <c r="AY683" t="s">
        <v>895</v>
      </c>
    </row>
    <row r="684" spans="51:51" x14ac:dyDescent="0.25">
      <c r="AY684" t="s">
        <v>896</v>
      </c>
    </row>
    <row r="685" spans="51:51" x14ac:dyDescent="0.25">
      <c r="AY685" t="s">
        <v>897</v>
      </c>
    </row>
    <row r="686" spans="51:51" x14ac:dyDescent="0.25">
      <c r="AY686" t="s">
        <v>898</v>
      </c>
    </row>
    <row r="687" spans="51:51" x14ac:dyDescent="0.25">
      <c r="AY687" t="s">
        <v>899</v>
      </c>
    </row>
    <row r="688" spans="51:51" x14ac:dyDescent="0.25">
      <c r="AY688" t="s">
        <v>900</v>
      </c>
    </row>
    <row r="689" spans="51:51" x14ac:dyDescent="0.25">
      <c r="AY689" t="s">
        <v>901</v>
      </c>
    </row>
    <row r="690" spans="51:51" x14ac:dyDescent="0.25">
      <c r="AY690" t="s">
        <v>902</v>
      </c>
    </row>
    <row r="691" spans="51:51" x14ac:dyDescent="0.25">
      <c r="AY691" t="s">
        <v>903</v>
      </c>
    </row>
    <row r="692" spans="51:51" x14ac:dyDescent="0.25">
      <c r="AY692" t="s">
        <v>904</v>
      </c>
    </row>
    <row r="693" spans="51:51" x14ac:dyDescent="0.25">
      <c r="AY693" t="s">
        <v>905</v>
      </c>
    </row>
    <row r="694" spans="51:51" x14ac:dyDescent="0.25">
      <c r="AY694" t="s">
        <v>906</v>
      </c>
    </row>
    <row r="695" spans="51:51" x14ac:dyDescent="0.25">
      <c r="AY695" t="s">
        <v>907</v>
      </c>
    </row>
    <row r="696" spans="51:51" x14ac:dyDescent="0.25">
      <c r="AY696" t="s">
        <v>908</v>
      </c>
    </row>
    <row r="697" spans="51:51" x14ac:dyDescent="0.25">
      <c r="AY697" t="s">
        <v>909</v>
      </c>
    </row>
    <row r="698" spans="51:51" x14ac:dyDescent="0.25">
      <c r="AY698" t="s">
        <v>910</v>
      </c>
    </row>
    <row r="699" spans="51:51" x14ac:dyDescent="0.25">
      <c r="AY699" t="s">
        <v>911</v>
      </c>
    </row>
    <row r="700" spans="51:51" x14ac:dyDescent="0.25">
      <c r="AY700" t="s">
        <v>912</v>
      </c>
    </row>
    <row r="701" spans="51:51" x14ac:dyDescent="0.25">
      <c r="AY701" t="s">
        <v>913</v>
      </c>
    </row>
    <row r="702" spans="51:51" x14ac:dyDescent="0.25">
      <c r="AY702" t="s">
        <v>914</v>
      </c>
    </row>
    <row r="703" spans="51:51" x14ac:dyDescent="0.25">
      <c r="AY703" t="s">
        <v>915</v>
      </c>
    </row>
    <row r="704" spans="51:51" x14ac:dyDescent="0.25">
      <c r="AY704" t="s">
        <v>916</v>
      </c>
    </row>
    <row r="705" spans="51:51" x14ac:dyDescent="0.25">
      <c r="AY705" t="s">
        <v>917</v>
      </c>
    </row>
    <row r="706" spans="51:51" x14ac:dyDescent="0.25">
      <c r="AY706" t="s">
        <v>918</v>
      </c>
    </row>
    <row r="707" spans="51:51" x14ac:dyDescent="0.25">
      <c r="AY707" t="s">
        <v>919</v>
      </c>
    </row>
    <row r="708" spans="51:51" x14ac:dyDescent="0.25">
      <c r="AY708" t="s">
        <v>920</v>
      </c>
    </row>
    <row r="709" spans="51:51" x14ac:dyDescent="0.25">
      <c r="AY709" t="s">
        <v>921</v>
      </c>
    </row>
    <row r="710" spans="51:51" x14ac:dyDescent="0.25">
      <c r="AY710" t="s">
        <v>922</v>
      </c>
    </row>
    <row r="711" spans="51:51" x14ac:dyDescent="0.25">
      <c r="AY711" t="s">
        <v>923</v>
      </c>
    </row>
    <row r="712" spans="51:51" x14ac:dyDescent="0.25">
      <c r="AY712" t="s">
        <v>924</v>
      </c>
    </row>
    <row r="713" spans="51:51" x14ac:dyDescent="0.25">
      <c r="AY713" t="s">
        <v>925</v>
      </c>
    </row>
    <row r="714" spans="51:51" x14ac:dyDescent="0.25">
      <c r="AY714" t="s">
        <v>926</v>
      </c>
    </row>
    <row r="715" spans="51:51" x14ac:dyDescent="0.25">
      <c r="AY715" t="s">
        <v>927</v>
      </c>
    </row>
    <row r="716" spans="51:51" x14ac:dyDescent="0.25">
      <c r="AY716" t="s">
        <v>928</v>
      </c>
    </row>
    <row r="717" spans="51:51" x14ac:dyDescent="0.25">
      <c r="AY717" t="s">
        <v>929</v>
      </c>
    </row>
    <row r="718" spans="51:51" x14ac:dyDescent="0.25">
      <c r="AY718" t="s">
        <v>930</v>
      </c>
    </row>
    <row r="719" spans="51:51" x14ac:dyDescent="0.25">
      <c r="AY719" t="s">
        <v>931</v>
      </c>
    </row>
    <row r="720" spans="51:51" x14ac:dyDescent="0.25">
      <c r="AY720" t="s">
        <v>932</v>
      </c>
    </row>
    <row r="721" spans="51:51" x14ac:dyDescent="0.25">
      <c r="AY721" t="s">
        <v>933</v>
      </c>
    </row>
    <row r="722" spans="51:51" x14ac:dyDescent="0.25">
      <c r="AY722" t="s">
        <v>934</v>
      </c>
    </row>
    <row r="723" spans="51:51" x14ac:dyDescent="0.25">
      <c r="AY723" t="s">
        <v>935</v>
      </c>
    </row>
    <row r="724" spans="51:51" x14ac:dyDescent="0.25">
      <c r="AY724" t="s">
        <v>936</v>
      </c>
    </row>
    <row r="725" spans="51:51" x14ac:dyDescent="0.25">
      <c r="AY725" t="s">
        <v>937</v>
      </c>
    </row>
    <row r="726" spans="51:51" x14ac:dyDescent="0.25">
      <c r="AY726" t="s">
        <v>938</v>
      </c>
    </row>
    <row r="727" spans="51:51" x14ac:dyDescent="0.25">
      <c r="AY727" t="s">
        <v>939</v>
      </c>
    </row>
    <row r="728" spans="51:51" x14ac:dyDescent="0.25">
      <c r="AY728" t="s">
        <v>940</v>
      </c>
    </row>
    <row r="729" spans="51:51" x14ac:dyDescent="0.25">
      <c r="AY729" t="s">
        <v>941</v>
      </c>
    </row>
    <row r="730" spans="51:51" x14ac:dyDescent="0.25">
      <c r="AY730" t="s">
        <v>942</v>
      </c>
    </row>
    <row r="731" spans="51:51" x14ac:dyDescent="0.25">
      <c r="AY731" t="s">
        <v>943</v>
      </c>
    </row>
    <row r="732" spans="51:51" x14ac:dyDescent="0.25">
      <c r="AY732" t="s">
        <v>944</v>
      </c>
    </row>
    <row r="733" spans="51:51" x14ac:dyDescent="0.25">
      <c r="AY733" t="s">
        <v>945</v>
      </c>
    </row>
    <row r="734" spans="51:51" x14ac:dyDescent="0.25">
      <c r="AY734" t="s">
        <v>946</v>
      </c>
    </row>
  </sheetData>
  <dataValidations count="24">
    <dataValidation type="list" allowBlank="1" showErrorMessage="1" errorStyle="warning" errorTitle="Invalid value" error="Select a value from the dropdown list." sqref="A10:A101">
      <formula1>"Sale Invoice,Debit Note"</formula1>
    </dataValidation>
    <dataValidation type="list" allowBlank="1" showErrorMessage="1" errorStyle="warning" errorTitle="Invalid value" error="Select a value from the dropdown list." sqref="A2:A101">
      <formula1>"Sale Invoice,Debit Note"</formula1>
    </dataValidation>
    <dataValidation type="decimal" operator="greaterThan" allowBlank="1" showErrorMessage="1" errorStyle="warning" errorTitle="Invalid Value (Excl. ST)" error="Value (Excl. ST) must be a positive number." sqref="AA10:AA101">
      <formula1>0</formula1>
    </dataValidation>
    <dataValidation type="decimal" operator="greaterThan" allowBlank="1" showErrorMessage="1" errorStyle="warning" errorTitle="Invalid Value (Excl. ST)" error="Value (Excl. ST) must be a positive number." sqref="AA2:AA101">
      <formula1>0</formula1>
    </dataValidation>
    <dataValidation type="decimal" operator="greaterThan" allowBlank="1" showErrorMessage="1" errorStyle="warning" errorTitle="Invalid Quantity" error="Quantity must be a positive number." sqref="AC10:AC101">
      <formula1>0</formula1>
    </dataValidation>
    <dataValidation type="decimal" operator="greaterThan" allowBlank="1" showErrorMessage="1" errorStyle="warning" errorTitle="Invalid Quantity" error="Quantity must be a positive number." sqref="AC2:AC101">
      <formula1>0</formula1>
    </dataValidation>
    <dataValidation type="list" allowBlank="1" showErrorMessage="1" errorStyle="warning" errorTitle="Invalid VAT" error="Select 18% or 25% from the dropdown." sqref="AG10:AG101">
      <formula1>"18%,25%"</formula1>
    </dataValidation>
    <dataValidation type="list" allowBlank="1" showErrorMessage="1" errorStyle="warning" errorTitle="Invalid VAT" error="Select 18% or 25% from the dropdown." sqref="AG2:AG101">
      <formula1>"18%,25%"</formula1>
    </dataValidation>
    <dataValidation type="decimal" operator="greaterThanOrEqual" allowBlank="1" showErrorMessage="1" errorStyle="warning" errorTitle="Invalid Extra Tax" error="Extra Tax must be a positive number." sqref="AM10:AM101">
      <formula1>0</formula1>
    </dataValidation>
    <dataValidation type="decimal" operator="greaterThanOrEqual" allowBlank="1" showErrorMessage="1" errorStyle="warning" errorTitle="Invalid Extra Tax" error="Extra Tax must be a positive number." sqref="AM2:AM101">
      <formula1>0</formula1>
    </dataValidation>
    <dataValidation type="decimal" operator="greaterThanOrEqual" allowBlank="1" showErrorMessage="1" errorStyle="warning" errorTitle="Invalid Advance Income Tax" error="Advance Income Tax must be a positive number." sqref="AP10:AP101">
      <formula1>0</formula1>
    </dataValidation>
    <dataValidation type="decimal" operator="greaterThanOrEqual" allowBlank="1" showErrorMessage="1" errorStyle="warning" errorTitle="Invalid Advance Income Tax" error="Advance Income Tax must be a positive number." sqref="AP2:AP101">
      <formula1>0</formula1>
    </dataValidation>
    <dataValidation type="decimal" operator="greaterThanOrEqual" allowBlank="1" showErrorMessage="1" errorStyle="warning" errorTitle="Invalid Discount" error="Discount must be a positive number (amount)." sqref="AQ10:AQ101">
      <formula1>0</formula1>
    </dataValidation>
    <dataValidation type="decimal" operator="greaterThanOrEqual" allowBlank="1" showErrorMessage="1" errorStyle="warning" errorTitle="Invalid Discount" error="Discount must be a positive number (amount)." sqref="AQ2:AQ101">
      <formula1>0</formula1>
    </dataValidation>
    <dataValidation type="list" allowBlank="1" showErrorMessage="1" sqref="R10:R101">
      <formula1>$AU$2:$AU$27</formula1>
    </dataValidation>
    <dataValidation type="list" allowBlank="1" showErrorMessage="1" sqref="R2:R101">
      <formula1>$AU$2:$AU$27</formula1>
    </dataValidation>
    <dataValidation type="list" allowBlank="1" showErrorMessage="1" errorStyle="warning" errorTitle="Invalid Rate" error="Select a valid rate from the dropdown list." sqref="S10:S101">
      <formula1>$AW$2:$AW$67</formula1>
    </dataValidation>
    <dataValidation type="list" allowBlank="1" showErrorMessage="1" errorStyle="warning" errorTitle="Invalid Rate" error="Select a valid rate from the dropdown list." sqref="S2:S101">
      <formula1>$AW$2:$AW$67</formula1>
    </dataValidation>
    <dataValidation type="list" allowBlank="1" showErrorMessage="1" errorStyle="warning" errorTitle="Invalid SRO Schedule" error="Select a valid SRO Schedule from the dropdown list." sqref="T10:T101">
      <formula1>$AX$2:$AX$26</formula1>
    </dataValidation>
    <dataValidation type="list" allowBlank="1" showErrorMessage="1" errorStyle="warning" errorTitle="Invalid SRO Schedule" error="Select a valid SRO Schedule from the dropdown list." sqref="T2:T101">
      <formula1>$AX$2:$AX$26</formula1>
    </dataValidation>
    <dataValidation type="list" allowBlank="1" showErrorMessage="1" errorStyle="warning" errorTitle="Invalid SRO Item" error="Select a valid SRO Item from the dropdown list." sqref="U10:U101">
      <formula1>$AY$2:$AY$734</formula1>
    </dataValidation>
    <dataValidation type="list" allowBlank="1" showErrorMessage="1" errorStyle="warning" errorTitle="Invalid SRO Item" error="Select a valid SRO Item from the dropdown list." sqref="U2:U101">
      <formula1>$AY$2:$AY$734</formula1>
    </dataValidation>
    <dataValidation type="list" allowBlank="1" showErrorMessage="1" errorStyle="warning" errorTitle="Invalid UoM" error="Select a valid Unit of Measurement from the dropdown list." sqref="W10:W101">
      <formula1>$AV$2:$AV$33</formula1>
    </dataValidation>
    <dataValidation type="list" allowBlank="1" showErrorMessage="1" errorStyle="warning" errorTitle="Invalid UoM" error="Select a valid Unit of Measurement from the dropdown list." sqref="W2:W101">
      <formula1>$AV$2:$AV$33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FBR Sandbox System</dc:creator>
  <dc:title/>
  <dc:subject/>
  <dc:description/>
  <cp:keywords/>
  <cp:category/>
  <cp:lastModifiedBy>Unknown</cp:lastModifiedBy>
  <dcterms:created xsi:type="dcterms:W3CDTF">2026-09-01T07:14:01Z</dcterms:created>
  <dcterms:modified xsi:type="dcterms:W3CDTF">2026-09-01T07:14:01Z</dcterms:modified>
</cp:coreProperties>
</file>