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/>
</workbook>
</file>

<file path=xl/sharedStrings.xml><?xml version="1.0" encoding="utf-8"?>
<sst xmlns="http://schemas.openxmlformats.org/spreadsheetml/2006/main" count="952" uniqueCount="949">
  <si>
    <t>Invoice Type</t>
  </si>
  <si>
    <t>Invoice Date</t>
  </si>
  <si>
    <t>DN Invoice Ref No</t>
  </si>
  <si>
    <t>Company Invoice Ref No</t>
  </si>
  <si>
    <t>CUST. A/C NO</t>
  </si>
  <si>
    <t>CUST. LPO NO</t>
  </si>
  <si>
    <t>LPO DATE</t>
  </si>
  <si>
    <t>DEL. NOTE NO</t>
  </si>
  <si>
    <t>SP</t>
  </si>
  <si>
    <t>PRODUCT ORIGIN</t>
  </si>
  <si>
    <t>PRODUCT CERTIFIED BY</t>
  </si>
  <si>
    <t>PAYMENT TERMS</t>
  </si>
  <si>
    <t>PAYMENT DUE</t>
  </si>
  <si>
    <t>GROUP</t>
  </si>
  <si>
    <t>BILL TO</t>
  </si>
  <si>
    <t>SHIP TO</t>
  </si>
  <si>
    <t>Buyer NTN/CNIC</t>
  </si>
  <si>
    <t>Transaction Type</t>
  </si>
  <si>
    <t>Rate</t>
  </si>
  <si>
    <t>SRO Schedule No</t>
  </si>
  <si>
    <t>SRO Item No</t>
  </si>
  <si>
    <t>Sale Type</t>
  </si>
  <si>
    <t>Unit Of Measurement for (FBR)</t>
  </si>
  <si>
    <t>Unit Of Measurement for (Internal)</t>
  </si>
  <si>
    <t>Product Name</t>
  </si>
  <si>
    <t>Product Weight</t>
  </si>
  <si>
    <t>Amount</t>
  </si>
  <si>
    <t>Discount</t>
  </si>
  <si>
    <t>Value Sales (Excl ST)</t>
  </si>
  <si>
    <t>Qty (For Internal Use)</t>
  </si>
  <si>
    <t>Quantity in KGS (For FBR)</t>
  </si>
  <si>
    <t>Item Code</t>
  </si>
  <si>
    <t>Units</t>
  </si>
  <si>
    <t>Courier Charges</t>
  </si>
  <si>
    <t>VAT</t>
  </si>
  <si>
    <t>Calculated VAT 18%</t>
  </si>
  <si>
    <t>Calculated VAT 25%</t>
  </si>
  <si>
    <t>Unit Cost</t>
  </si>
  <si>
    <t>Sales Tax Applicable</t>
  </si>
  <si>
    <t>ST Withheld at Source</t>
  </si>
  <si>
    <t>Extra Tax</t>
  </si>
  <si>
    <t>Further Tax</t>
  </si>
  <si>
    <t>FED Payable</t>
  </si>
  <si>
    <t>Advance Income Tax</t>
  </si>
  <si>
    <t>Total Values</t>
  </si>
  <si>
    <t>Sale Invoice</t>
  </si>
  <si>
    <t>BALOCHISTAN</t>
  </si>
  <si>
    <t>75 - Goods at standard rate (default)</t>
  </si>
  <si>
    <t>1000 kWh</t>
  </si>
  <si>
    <t>18%</t>
  </si>
  <si>
    <t>N/A</t>
  </si>
  <si>
    <t>Debit Note</t>
  </si>
  <si>
    <t>AZAD JAMMU AND KASHMIR</t>
  </si>
  <si>
    <t>24 - Goods at Reduced Rate</t>
  </si>
  <si>
    <t>40KG</t>
  </si>
  <si>
    <t>0.5%</t>
  </si>
  <si>
    <t>01(I)/2022</t>
  </si>
  <si>
    <t>-</t>
  </si>
  <si>
    <t>25%</t>
  </si>
  <si>
    <t>CAPITAL TERRITORY</t>
  </si>
  <si>
    <t>80 - Goods at zero-rate</t>
  </si>
  <si>
    <t>Bag</t>
  </si>
  <si>
    <t>1%</t>
  </si>
  <si>
    <t>1450(I)/2021</t>
  </si>
  <si>
    <t>1</t>
  </si>
  <si>
    <t>KHYBER PAKHTUNKHWA</t>
  </si>
  <si>
    <t>85 - Petroleum Products</t>
  </si>
  <si>
    <t>Barrels</t>
  </si>
  <si>
    <t>1.5%</t>
  </si>
  <si>
    <t>1579(1)/2021</t>
  </si>
  <si>
    <t>1(A)</t>
  </si>
  <si>
    <t>PUNJAB</t>
  </si>
  <si>
    <t>62 - Electricity Supply to Retailers</t>
  </si>
  <si>
    <t>Bill of lading</t>
  </si>
  <si>
    <t>2%</t>
  </si>
  <si>
    <t>1604(I)/2021</t>
  </si>
  <si>
    <t>1(B)</t>
  </si>
  <si>
    <t>SINDH</t>
  </si>
  <si>
    <t>129 - SIM</t>
  </si>
  <si>
    <t>Carat</t>
  </si>
  <si>
    <t>3%</t>
  </si>
  <si>
    <t>297(I)/2023-Table-I</t>
  </si>
  <si>
    <t>1(E)</t>
  </si>
  <si>
    <t>GILGIT BALTISTAN</t>
  </si>
  <si>
    <t>77 - Gas to CNG stations</t>
  </si>
  <si>
    <t>Cubic Metre</t>
  </si>
  <si>
    <t>4.5%</t>
  </si>
  <si>
    <t>297(I)/2023-Table-II</t>
  </si>
  <si>
    <t>1(F)</t>
  </si>
  <si>
    <t>122 - Mobile Phones</t>
  </si>
  <si>
    <t>Dozen</t>
  </si>
  <si>
    <t>5%</t>
  </si>
  <si>
    <t>321(I)/2022</t>
  </si>
  <si>
    <t>1(G)</t>
  </si>
  <si>
    <t>25 - Processing/Conversion of Goods</t>
  </si>
  <si>
    <t>Foot</t>
  </si>
  <si>
    <t>7%</t>
  </si>
  <si>
    <t>327(I)/2008</t>
  </si>
  <si>
    <t>1(a)</t>
  </si>
  <si>
    <t xml:space="preserve">23 -  3rd Schedule Goods </t>
  </si>
  <si>
    <t>Gallon</t>
  </si>
  <si>
    <t>7.5%</t>
  </si>
  <si>
    <t>581(1)/2024</t>
  </si>
  <si>
    <t>1(b)</t>
  </si>
  <si>
    <t>21 - Goods (FED in ST Mode)</t>
  </si>
  <si>
    <t>Gram</t>
  </si>
  <si>
    <t>8%</t>
  </si>
  <si>
    <t>587(I)/2017</t>
  </si>
  <si>
    <t>1(i)</t>
  </si>
  <si>
    <t xml:space="preserve">22 -  Services (FED in ST Mode) </t>
  </si>
  <si>
    <t>KG</t>
  </si>
  <si>
    <t>8.5%</t>
  </si>
  <si>
    <t>6th Schd Table I</t>
  </si>
  <si>
    <t>1(i)(a)</t>
  </si>
  <si>
    <t xml:space="preserve">18 -  Services </t>
  </si>
  <si>
    <t>KWH</t>
  </si>
  <si>
    <t>10%</t>
  </si>
  <si>
    <t>6th Schd Table II</t>
  </si>
  <si>
    <t>1(i)(b)</t>
  </si>
  <si>
    <t>81 - Exempt goods</t>
  </si>
  <si>
    <t>Kilogram</t>
  </si>
  <si>
    <t>12%</t>
  </si>
  <si>
    <t>6th Schd Table III</t>
  </si>
  <si>
    <t>1(i)(i)</t>
  </si>
  <si>
    <t>82 - DTRE goods</t>
  </si>
  <si>
    <t>Liter</t>
  </si>
  <si>
    <t>12.5%</t>
  </si>
  <si>
    <t>88(I)/2022</t>
  </si>
  <si>
    <t>1(ii)</t>
  </si>
  <si>
    <t>130 - Cotton ginners</t>
  </si>
  <si>
    <t>MMBTU</t>
  </si>
  <si>
    <t>12.75%</t>
  </si>
  <si>
    <t>EIGHTH SCHEDULE Table 1</t>
  </si>
  <si>
    <t>1(ii)(a)</t>
  </si>
  <si>
    <t>132 - Electric Vehicle</t>
  </si>
  <si>
    <t>MT</t>
  </si>
  <si>
    <t>13%</t>
  </si>
  <si>
    <t>EIGHTH SCHEDULE Table 2</t>
  </si>
  <si>
    <t>1(ii)(b)</t>
  </si>
  <si>
    <t>134 - Cement /Concrete Block</t>
  </si>
  <si>
    <t>Mega Watt</t>
  </si>
  <si>
    <t>14%</t>
  </si>
  <si>
    <t>Eighth Schedule Table 1</t>
  </si>
  <si>
    <t>1(ii)(ii)(a)</t>
  </si>
  <si>
    <t>84 - Telecommunication services</t>
  </si>
  <si>
    <t>Meter</t>
  </si>
  <si>
    <t>15%</t>
  </si>
  <si>
    <t>FIFTH SCHEDULE</t>
  </si>
  <si>
    <t>1(ii)(ii)(b)</t>
  </si>
  <si>
    <t>123 - Steel melting and re-rolling</t>
  </si>
  <si>
    <t>NO</t>
  </si>
  <si>
    <t>17%</t>
  </si>
  <si>
    <t>ICTO</t>
  </si>
  <si>
    <t>1(iii)</t>
  </si>
  <si>
    <t>125 - Ship breaking</t>
  </si>
  <si>
    <t>Numbers, pieces, units</t>
  </si>
  <si>
    <t>Rs.700/MT</t>
  </si>
  <si>
    <t>ICTO TABLE I</t>
  </si>
  <si>
    <t>1(iv)</t>
  </si>
  <si>
    <t>115 - Potassium Chlorate</t>
  </si>
  <si>
    <t>Others</t>
  </si>
  <si>
    <t>0%</t>
  </si>
  <si>
    <t>ICTO TABLE II</t>
  </si>
  <si>
    <t>1(v)</t>
  </si>
  <si>
    <t>178 - CNG Sales</t>
  </si>
  <si>
    <t>Packs</t>
  </si>
  <si>
    <t>Exempt</t>
  </si>
  <si>
    <t>NINTH SCHEDULE</t>
  </si>
  <si>
    <t>1(vi)</t>
  </si>
  <si>
    <t>181 - Toll Manufacturing</t>
  </si>
  <si>
    <t>Pair</t>
  </si>
  <si>
    <t>0.20%</t>
  </si>
  <si>
    <t>SECTION 49</t>
  </si>
  <si>
    <t>10</t>
  </si>
  <si>
    <t>138 - Non-Adjustable Supplies</t>
  </si>
  <si>
    <t>Pcs</t>
  </si>
  <si>
    <t>0.46%</t>
  </si>
  <si>
    <t>Section 4(b)</t>
  </si>
  <si>
    <t>100</t>
  </si>
  <si>
    <t>139 - Goods as per SRO.297(|)/2023</t>
  </si>
  <si>
    <t>Pound</t>
  </si>
  <si>
    <t>1.43%</t>
  </si>
  <si>
    <t>100A</t>
  </si>
  <si>
    <t>SET</t>
  </si>
  <si>
    <t>1.63%</t>
  </si>
  <si>
    <t>100A((i))</t>
  </si>
  <si>
    <t>SqY</t>
  </si>
  <si>
    <t>2.5%</t>
  </si>
  <si>
    <t>100A((ii))</t>
  </si>
  <si>
    <t>Square Foot</t>
  </si>
  <si>
    <t>2.70%</t>
  </si>
  <si>
    <t>100A((iii))</t>
  </si>
  <si>
    <t>Square Metre</t>
  </si>
  <si>
    <t>2.74%</t>
  </si>
  <si>
    <t>100B</t>
  </si>
  <si>
    <t>Thousand Unit</t>
  </si>
  <si>
    <t>3.67%</t>
  </si>
  <si>
    <t>100B((i))</t>
  </si>
  <si>
    <t>Timber Logs</t>
  </si>
  <si>
    <t>4.77%</t>
  </si>
  <si>
    <t>100B((ii))</t>
  </si>
  <si>
    <t>5.44%</t>
  </si>
  <si>
    <t>100B((iii))</t>
  </si>
  <si>
    <t>6.70%</t>
  </si>
  <si>
    <t>100B((iv))</t>
  </si>
  <si>
    <t>6.75%</t>
  </si>
  <si>
    <t>100B((v))</t>
  </si>
  <si>
    <t>6.84%</t>
  </si>
  <si>
    <t>100B((vi))</t>
  </si>
  <si>
    <t>7.20%</t>
  </si>
  <si>
    <t>100C</t>
  </si>
  <si>
    <t>7.37%</t>
  </si>
  <si>
    <t>101</t>
  </si>
  <si>
    <t>7.56%</t>
  </si>
  <si>
    <t>102</t>
  </si>
  <si>
    <t>8.19%</t>
  </si>
  <si>
    <t>103</t>
  </si>
  <si>
    <t>8.30%</t>
  </si>
  <si>
    <t>104</t>
  </si>
  <si>
    <t>9.08%</t>
  </si>
  <si>
    <t>104(a)</t>
  </si>
  <si>
    <t>9.15%</t>
  </si>
  <si>
    <t>104(b)</t>
  </si>
  <si>
    <t>10.07%</t>
  </si>
  <si>
    <t>104(c)</t>
  </si>
  <si>
    <t>10.32%</t>
  </si>
  <si>
    <t>104(d)</t>
  </si>
  <si>
    <t>10.54%</t>
  </si>
  <si>
    <t>104(e)</t>
  </si>
  <si>
    <t>10.77%</t>
  </si>
  <si>
    <t>104(f)</t>
  </si>
  <si>
    <t>11.64%</t>
  </si>
  <si>
    <t>104(g)</t>
  </si>
  <si>
    <t>15.44%</t>
  </si>
  <si>
    <t>104(h)</t>
  </si>
  <si>
    <t>16.40%</t>
  </si>
  <si>
    <t>105</t>
  </si>
  <si>
    <t>Rs.250</t>
  </si>
  <si>
    <t>106</t>
  </si>
  <si>
    <t>107</t>
  </si>
  <si>
    <t>18% and Rs. 80 per Liter</t>
  </si>
  <si>
    <t>108</t>
  </si>
  <si>
    <t>16%</t>
  </si>
  <si>
    <t>108(a)</t>
  </si>
  <si>
    <t>19.5%</t>
  </si>
  <si>
    <t>108(b)</t>
  </si>
  <si>
    <t>200/bill</t>
  </si>
  <si>
    <t>108(c)</t>
  </si>
  <si>
    <t>18.5%</t>
  </si>
  <si>
    <t>108(d)</t>
  </si>
  <si>
    <t>50/SqY</t>
  </si>
  <si>
    <t>108(e)</t>
  </si>
  <si>
    <t>100/SqY</t>
  </si>
  <si>
    <t>108(f)</t>
  </si>
  <si>
    <t>Rs.1000</t>
  </si>
  <si>
    <t>108(g)</t>
  </si>
  <si>
    <t>DTRE</t>
  </si>
  <si>
    <t>108(h)</t>
  </si>
  <si>
    <t>Rs.2</t>
  </si>
  <si>
    <t>108(i)</t>
  </si>
  <si>
    <t>Rs.3</t>
  </si>
  <si>
    <t>108(j)</t>
  </si>
  <si>
    <t>Rs.5</t>
  </si>
  <si>
    <t>108(k)</t>
  </si>
  <si>
    <t>Rs.10</t>
  </si>
  <si>
    <t>109</t>
  </si>
  <si>
    <t>18% along with rupees 60 per kilogram</t>
  </si>
  <si>
    <t>11</t>
  </si>
  <si>
    <t>Rs.200</t>
  </si>
  <si>
    <t>11(a)</t>
  </si>
  <si>
    <t>11(b)</t>
  </si>
  <si>
    <t>11(i)</t>
  </si>
  <si>
    <t>11(ii)</t>
  </si>
  <si>
    <t>11(iii)</t>
  </si>
  <si>
    <t>11(iv)</t>
  </si>
  <si>
    <t>11(v)</t>
  </si>
  <si>
    <t>11(vi)</t>
  </si>
  <si>
    <t>11(vii)</t>
  </si>
  <si>
    <t>11(viii)</t>
  </si>
  <si>
    <t>110</t>
  </si>
  <si>
    <t>110(a)</t>
  </si>
  <si>
    <t>110(b)</t>
  </si>
  <si>
    <t>110(c)</t>
  </si>
  <si>
    <t>110(d)</t>
  </si>
  <si>
    <t>110(e)</t>
  </si>
  <si>
    <t>110(f)</t>
  </si>
  <si>
    <t>110(g)</t>
  </si>
  <si>
    <t>110(h)</t>
  </si>
  <si>
    <t>110(i)</t>
  </si>
  <si>
    <t>110(j)</t>
  </si>
  <si>
    <t>111</t>
  </si>
  <si>
    <t>112</t>
  </si>
  <si>
    <t>112A</t>
  </si>
  <si>
    <t>112A(i)</t>
  </si>
  <si>
    <t>112A(ii)</t>
  </si>
  <si>
    <t>112A(iii)</t>
  </si>
  <si>
    <t>112A(iv)</t>
  </si>
  <si>
    <t>112A(ix)</t>
  </si>
  <si>
    <t>112A(v)</t>
  </si>
  <si>
    <t>112A(vi)</t>
  </si>
  <si>
    <t>112A(vii)</t>
  </si>
  <si>
    <t>112A(viii)</t>
  </si>
  <si>
    <t>112A(x)</t>
  </si>
  <si>
    <t/>
  </si>
  <si>
    <t>112A(xi)</t>
  </si>
  <si>
    <t>112A(xii)</t>
  </si>
  <si>
    <t>INSTRUCTIONS:</t>
  </si>
  <si>
    <t>112A(xiii)</t>
  </si>
  <si>
    <t>1. This Excel template includes automatic calculations and dropdown validations.</t>
  </si>
  <si>
    <t>112A(xiv)</t>
  </si>
  <si>
    <t>2. Fill in the required fields: Invoice Type, Invoice Date, Company Invoice Ref No, Buyer NTN/CNIC.</t>
  </si>
  <si>
    <t>112A(xix)</t>
  </si>
  <si>
    <t>3. Select Transaction Type from the dropdown list - Sales Type will auto-populate.</t>
  </si>
  <si>
    <t>112A(xv)</t>
  </si>
  <si>
    <t>4. Enter Product Name, HS Code, Quantity, and Value Sales (Excl. ST).</t>
  </si>
  <si>
    <t>112A(xvi)</t>
  </si>
  <si>
    <t>5. Select Rate, SRO Schedule No, SRO Item No, and UoM from dropdown lists.</t>
  </si>
  <si>
    <t>112A(xvii)</t>
  </si>
  <si>
    <t>6. Unit Price auto-calculates as Value Sales (Excl. ST) ÷ Quantity.</t>
  </si>
  <si>
    <t>112A(xviii)</t>
  </si>
  <si>
    <t>7. Sales Tax Applicable auto-calculates: Value Sales (Excl. ST) × (Rate ÷ 100).</t>
  </si>
  <si>
    <t>112A(xx)</t>
  </si>
  <si>
    <t>8. Total Values auto-calculates: (Value Excl. ST + Sales Tax + FED + ST W/H + Further Tax + Extra Tax) minus Discount.</t>
  </si>
  <si>
    <t>112A(xxi)</t>
  </si>
  <si>
    <t>9. Extra Tax, Further Tax, FED Payable, and Discount are optional fields.</t>
  </si>
  <si>
    <t>112A(xxii)</t>
  </si>
  <si>
    <t>10. All dropdown lists contain values from the FBR API system.</t>
  </si>
  <si>
    <t>112A(xxiii)</t>
  </si>
  <si>
    <t>11. For best results, save the file as .xlsx format before uploading.</t>
  </si>
  <si>
    <t>112A(xxiv)</t>
  </si>
  <si>
    <t>112A(xxv)</t>
  </si>
  <si>
    <t>112B</t>
  </si>
  <si>
    <t>112B(i)</t>
  </si>
  <si>
    <t>112B(ii)</t>
  </si>
  <si>
    <t>112B(iii)</t>
  </si>
  <si>
    <t>112B(iv)</t>
  </si>
  <si>
    <t>112B(v)</t>
  </si>
  <si>
    <t>112B(vi)</t>
  </si>
  <si>
    <t>112B(vii)</t>
  </si>
  <si>
    <t>112C</t>
  </si>
  <si>
    <t>112C(i)</t>
  </si>
  <si>
    <t>112C(ii)</t>
  </si>
  <si>
    <t>112C(iii)</t>
  </si>
  <si>
    <t>112C(iv)</t>
  </si>
  <si>
    <t>112C(ix)</t>
  </si>
  <si>
    <t>112C(v)</t>
  </si>
  <si>
    <t>112C(vi)</t>
  </si>
  <si>
    <t>112C(vii)</t>
  </si>
  <si>
    <t>112C(viii)</t>
  </si>
  <si>
    <t>112C(x)</t>
  </si>
  <si>
    <t>112D</t>
  </si>
  <si>
    <t>112E</t>
  </si>
  <si>
    <t>112F</t>
  </si>
  <si>
    <t>112G</t>
  </si>
  <si>
    <t>112H</t>
  </si>
  <si>
    <t>112H(i)</t>
  </si>
  <si>
    <t>112H(ii)</t>
  </si>
  <si>
    <t>112H(iii)</t>
  </si>
  <si>
    <t>112H(iv)</t>
  </si>
  <si>
    <t>112H(ix)</t>
  </si>
  <si>
    <t>112H(v)</t>
  </si>
  <si>
    <t>112H(vi)</t>
  </si>
  <si>
    <t>112H(vii)</t>
  </si>
  <si>
    <t>112H(viii)</t>
  </si>
  <si>
    <t>112H(x)</t>
  </si>
  <si>
    <t>112H(xi)</t>
  </si>
  <si>
    <t>112I</t>
  </si>
  <si>
    <t>112I(i)</t>
  </si>
  <si>
    <t>112J</t>
  </si>
  <si>
    <t>112J(i)</t>
  </si>
  <si>
    <t>112J(ii)</t>
  </si>
  <si>
    <t>112J(iii)</t>
  </si>
  <si>
    <t>112J(iv)</t>
  </si>
  <si>
    <t>112J(ix)</t>
  </si>
  <si>
    <t>112J(v)</t>
  </si>
  <si>
    <t>112J(vi)</t>
  </si>
  <si>
    <t>112J(vii)</t>
  </si>
  <si>
    <t>112J(viii)</t>
  </si>
  <si>
    <t>112J(viii)(a)</t>
  </si>
  <si>
    <t>112J(viii)(b)</t>
  </si>
  <si>
    <t>112J(viii)(c)</t>
  </si>
  <si>
    <t>112J(x)</t>
  </si>
  <si>
    <t>112J(xi)</t>
  </si>
  <si>
    <t>112J(xii)</t>
  </si>
  <si>
    <t>112K</t>
  </si>
  <si>
    <t>112K(i)</t>
  </si>
  <si>
    <t>112K(ii)</t>
  </si>
  <si>
    <t>112K(iii)</t>
  </si>
  <si>
    <t>112K(iv)</t>
  </si>
  <si>
    <t>112K(ix)</t>
  </si>
  <si>
    <t>112K(v)</t>
  </si>
  <si>
    <t>112K(vi)</t>
  </si>
  <si>
    <t>112K(vii)</t>
  </si>
  <si>
    <t>112K(viii)</t>
  </si>
  <si>
    <t>112K(x)</t>
  </si>
  <si>
    <t>112K(xi)</t>
  </si>
  <si>
    <t>112K(xii)</t>
  </si>
  <si>
    <t>112K(xiii)</t>
  </si>
  <si>
    <t>112K(xiv)</t>
  </si>
  <si>
    <t>112K(xv)</t>
  </si>
  <si>
    <t>112K(xvi)</t>
  </si>
  <si>
    <t>112K(xvii)</t>
  </si>
  <si>
    <t>112K(xviii)</t>
  </si>
  <si>
    <t>112L</t>
  </si>
  <si>
    <t>113</t>
  </si>
  <si>
    <t>113(i)</t>
  </si>
  <si>
    <t>113(ii)</t>
  </si>
  <si>
    <t>113(iii)</t>
  </si>
  <si>
    <t>114</t>
  </si>
  <si>
    <t>114(i)</t>
  </si>
  <si>
    <t>114(ii)</t>
  </si>
  <si>
    <t>115</t>
  </si>
  <si>
    <t>116</t>
  </si>
  <si>
    <t>117</t>
  </si>
  <si>
    <t>118</t>
  </si>
  <si>
    <t>119</t>
  </si>
  <si>
    <t>12</t>
  </si>
  <si>
    <t>12(xix)</t>
  </si>
  <si>
    <t>12(xvii)</t>
  </si>
  <si>
    <t>12(xx)</t>
  </si>
  <si>
    <t>12(xxi)</t>
  </si>
  <si>
    <t>12(xxii)</t>
  </si>
  <si>
    <t>12(xxiii)</t>
  </si>
  <si>
    <t>12(xxiv)</t>
  </si>
  <si>
    <t>12(xxv)</t>
  </si>
  <si>
    <t>12(xxvi)</t>
  </si>
  <si>
    <t>12(xxvii)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</si>
  <si>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</si>
  <si>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</si>
  <si>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</si>
  <si>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</si>
  <si>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</si>
  <si>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</si>
  <si>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</si>
  <si>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</si>
  <si>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</si>
  <si>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</si>
  <si>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</si>
  <si>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</si>
  <si>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</si>
  <si>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</si>
  <si>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</si>
  <si>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</si>
  <si>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</si>
  <si>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</si>
  <si>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</si>
  <si>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</si>
  <si>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</si>
  <si>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</t>
  </si>
  <si>
    <t>14(1)</t>
  </si>
  <si>
    <t>14(1)(i)</t>
  </si>
  <si>
    <t>14(1)(ii)</t>
  </si>
  <si>
    <t>14(1)(iii)</t>
  </si>
  <si>
    <t>14(1)(iv)</t>
  </si>
  <si>
    <t>14(1)(v)</t>
  </si>
  <si>
    <t>14(1)(vi)</t>
  </si>
  <si>
    <t>14(2)</t>
  </si>
  <si>
    <t>140</t>
  </si>
  <si>
    <t>141</t>
  </si>
  <si>
    <t>142</t>
  </si>
  <si>
    <t>143</t>
  </si>
  <si>
    <t>143(i)</t>
  </si>
  <si>
    <t>143(i)(a)</t>
  </si>
  <si>
    <t>143(i)(b)</t>
  </si>
  <si>
    <t>143(i)(c)</t>
  </si>
  <si>
    <t>143(i)(d)</t>
  </si>
  <si>
    <t>144</t>
  </si>
  <si>
    <t>145</t>
  </si>
  <si>
    <t>145(i)</t>
  </si>
  <si>
    <t>145(ii)</t>
  </si>
  <si>
    <t>145(iii)</t>
  </si>
  <si>
    <t>145(iv)</t>
  </si>
  <si>
    <t>145(ix)</t>
  </si>
  <si>
    <t>145(v)</t>
  </si>
  <si>
    <t>145(vi)</t>
  </si>
  <si>
    <t>145(vii)</t>
  </si>
  <si>
    <t>145(viii)</t>
  </si>
  <si>
    <t>145(x)</t>
  </si>
  <si>
    <t>146</t>
  </si>
  <si>
    <t>146(a)</t>
  </si>
  <si>
    <t>146(b)</t>
  </si>
  <si>
    <t>146(c)</t>
  </si>
  <si>
    <t>146(d)</t>
  </si>
  <si>
    <t>146(e)</t>
  </si>
  <si>
    <t>146(f)</t>
  </si>
  <si>
    <t>146(g)</t>
  </si>
  <si>
    <t>146(h)</t>
  </si>
  <si>
    <t>146(i)</t>
  </si>
  <si>
    <t>146(j)</t>
  </si>
  <si>
    <t>147</t>
  </si>
  <si>
    <t>148</t>
  </si>
  <si>
    <t>149</t>
  </si>
  <si>
    <t>14A</t>
  </si>
  <si>
    <t>14A(10)</t>
  </si>
  <si>
    <t>14A(11)</t>
  </si>
  <si>
    <t>14A(12)</t>
  </si>
  <si>
    <t>14A(12a)</t>
  </si>
  <si>
    <t>14A(12b)</t>
  </si>
  <si>
    <t>14A(12b)(i)</t>
  </si>
  <si>
    <t>14A(12b)(ii)</t>
  </si>
  <si>
    <t>14A(12b)(iii)</t>
  </si>
  <si>
    <t>14A(12b)(iv)</t>
  </si>
  <si>
    <t>14A(12b)(v)</t>
  </si>
  <si>
    <t>14A(12b)(vi)</t>
  </si>
  <si>
    <t>14A(13)</t>
  </si>
  <si>
    <t>14A(14)</t>
  </si>
  <si>
    <t>14A(14)(i)</t>
  </si>
  <si>
    <t>14A(14)(ii)</t>
  </si>
  <si>
    <t>14A(14)(iii)</t>
  </si>
  <si>
    <t>14A(14)(iv)</t>
  </si>
  <si>
    <t>14A(14)(ix)</t>
  </si>
  <si>
    <t>14A(14)(v)</t>
  </si>
  <si>
    <t>14A(14)(vi)</t>
  </si>
  <si>
    <t>14A(14)(vii)</t>
  </si>
  <si>
    <t>14A(14)(viii)</t>
  </si>
  <si>
    <t>14A(14)(x)</t>
  </si>
  <si>
    <t>14A(1a)</t>
  </si>
  <si>
    <t>14A(1b)</t>
  </si>
  <si>
    <t>14A(1b)(i)</t>
  </si>
  <si>
    <t>14A(1b)(ii)</t>
  </si>
  <si>
    <t>14A(1b)(iii)</t>
  </si>
  <si>
    <t>14A(1b)(iv)</t>
  </si>
  <si>
    <t>14A(1b)(v)</t>
  </si>
  <si>
    <t>14A(1b)(vi)</t>
  </si>
  <si>
    <t>14A(2a)</t>
  </si>
  <si>
    <t>14A(2b)</t>
  </si>
  <si>
    <t>14A(2b)(i)</t>
  </si>
  <si>
    <t>14A(2b)(ii)</t>
  </si>
  <si>
    <t>14A(2b)(iii)</t>
  </si>
  <si>
    <t>14A(2b)(iv)</t>
  </si>
  <si>
    <t>14A(2b)(v)</t>
  </si>
  <si>
    <t>14A(3a)</t>
  </si>
  <si>
    <t>14A(3b)</t>
  </si>
  <si>
    <t>14A(3b)(i)</t>
  </si>
  <si>
    <t>14A(3b)(ii)</t>
  </si>
  <si>
    <t>14A(3b)(iii)</t>
  </si>
  <si>
    <t>14A(3b)(iv)</t>
  </si>
  <si>
    <t>14A(3b)(v)</t>
  </si>
  <si>
    <t>14A(3b)(vi)</t>
  </si>
  <si>
    <t>14A(4a)</t>
  </si>
  <si>
    <t>14A(4b)</t>
  </si>
  <si>
    <t>14A(4b)(i)</t>
  </si>
  <si>
    <t>14A(4b)(ii)</t>
  </si>
  <si>
    <t>14A(4b)(iii)</t>
  </si>
  <si>
    <t>14A(4b)(iv)</t>
  </si>
  <si>
    <t>14A(4b)(v)</t>
  </si>
  <si>
    <t>14A(5)</t>
  </si>
  <si>
    <t>14A(6a)</t>
  </si>
  <si>
    <t>14A(6b)</t>
  </si>
  <si>
    <t>14A(6b)(i)</t>
  </si>
  <si>
    <t>14A(6b)(ii)</t>
  </si>
  <si>
    <t>14A(6b)(iii)</t>
  </si>
  <si>
    <t>14A(6b)(iv)</t>
  </si>
  <si>
    <t>14A(6c)</t>
  </si>
  <si>
    <t>14A(6c)(i)</t>
  </si>
  <si>
    <t>14A(6c)(ii)</t>
  </si>
  <si>
    <t>14A(6c)(iii)</t>
  </si>
  <si>
    <t>14A(6c)(iv)</t>
  </si>
  <si>
    <t>14A(6c)(v)</t>
  </si>
  <si>
    <t>14A(6c)(vi)</t>
  </si>
  <si>
    <t>14A(7a)</t>
  </si>
  <si>
    <t>14A(7b)</t>
  </si>
  <si>
    <t>14A(7b)(i)</t>
  </si>
  <si>
    <t>14A(7b)(ii)</t>
  </si>
  <si>
    <t>14A(7b)(iii)</t>
  </si>
  <si>
    <t>14A(7b)(iv)</t>
  </si>
  <si>
    <t>14A(7b)(ix)</t>
  </si>
  <si>
    <t>14A(7b)(v)</t>
  </si>
  <si>
    <t>14A(7b)(vi)</t>
  </si>
  <si>
    <t>14A(7b)(vii)</t>
  </si>
  <si>
    <t>14A(7b)(viii)</t>
  </si>
  <si>
    <t>14A(7b)(x)</t>
  </si>
  <si>
    <t>14A(7b)(xi)</t>
  </si>
  <si>
    <t>14A(8)</t>
  </si>
  <si>
    <t>14A(8)(i)</t>
  </si>
  <si>
    <t>14A(8)(ii)</t>
  </si>
  <si>
    <t>14A(8)(iii)</t>
  </si>
  <si>
    <t>14A(8)(iv)</t>
  </si>
  <si>
    <t>14A(8)(v)</t>
  </si>
  <si>
    <t>14A(8)(vi)</t>
  </si>
  <si>
    <t>14A(8)(vii)</t>
  </si>
  <si>
    <t>14A(8)(viii)</t>
  </si>
  <si>
    <t>14A(9)</t>
  </si>
  <si>
    <t>15</t>
  </si>
  <si>
    <t>15(a)</t>
  </si>
  <si>
    <t>15(b)</t>
  </si>
  <si>
    <t>15(c.)</t>
  </si>
  <si>
    <t>15(i)</t>
  </si>
  <si>
    <t>15(ii)</t>
  </si>
  <si>
    <t>15(iii)</t>
  </si>
  <si>
    <t>15(iv)</t>
  </si>
  <si>
    <t>15(ix)</t>
  </si>
  <si>
    <t>15(v)</t>
  </si>
  <si>
    <t>15(vi)</t>
  </si>
  <si>
    <t>15(vii)</t>
  </si>
  <si>
    <t>15(viii)</t>
  </si>
  <si>
    <t>15(x)</t>
  </si>
  <si>
    <t>15(xi)</t>
  </si>
  <si>
    <t>15(xii)</t>
  </si>
  <si>
    <t>15(xiii)</t>
  </si>
  <si>
    <t>15(xiv)</t>
  </si>
  <si>
    <t>15(xv)</t>
  </si>
  <si>
    <t>15(xvi)</t>
  </si>
  <si>
    <t>150</t>
  </si>
  <si>
    <t>150(a)</t>
  </si>
  <si>
    <t>150(b)</t>
  </si>
  <si>
    <t>151(a)</t>
  </si>
  <si>
    <t>151(b)</t>
  </si>
  <si>
    <t>152</t>
  </si>
  <si>
    <t>153</t>
  </si>
  <si>
    <t>154</t>
  </si>
  <si>
    <t>155</t>
  </si>
  <si>
    <t>156</t>
  </si>
  <si>
    <t>159</t>
  </si>
  <si>
    <t>15A(i)</t>
  </si>
  <si>
    <t>15A(ii)</t>
  </si>
  <si>
    <t>15A(iii)</t>
  </si>
  <si>
    <t>15A(iv)</t>
  </si>
  <si>
    <t>16</t>
  </si>
  <si>
    <t>160</t>
  </si>
  <si>
    <t>163</t>
  </si>
  <si>
    <t>164</t>
  </si>
  <si>
    <t>165</t>
  </si>
  <si>
    <t>166</t>
  </si>
  <si>
    <t>167</t>
  </si>
  <si>
    <t>168</t>
  </si>
  <si>
    <t>169</t>
  </si>
  <si>
    <t>17</t>
  </si>
  <si>
    <t>170</t>
  </si>
  <si>
    <t>171</t>
  </si>
  <si>
    <t>172</t>
  </si>
  <si>
    <t>173</t>
  </si>
  <si>
    <t>174</t>
  </si>
  <si>
    <t>175</t>
  </si>
  <si>
    <t>176</t>
  </si>
  <si>
    <t>176(i)</t>
  </si>
  <si>
    <t>176(ii)</t>
  </si>
  <si>
    <t>176(iii)</t>
  </si>
  <si>
    <t>176(iv)</t>
  </si>
  <si>
    <t>177</t>
  </si>
  <si>
    <t>178</t>
  </si>
  <si>
    <t>179</t>
  </si>
  <si>
    <t>18</t>
  </si>
  <si>
    <t>18(i)</t>
  </si>
  <si>
    <t>18(ii)</t>
  </si>
  <si>
    <t>18(iii)</t>
  </si>
  <si>
    <t>18(iv)</t>
  </si>
  <si>
    <t>18(ix)</t>
  </si>
  <si>
    <t>18(v)</t>
  </si>
  <si>
    <t>18(vi)</t>
  </si>
  <si>
    <t>18(vii)</t>
  </si>
  <si>
    <t>18(viii)</t>
  </si>
  <si>
    <t>18(x)</t>
  </si>
  <si>
    <t>18(xi)</t>
  </si>
  <si>
    <t>18(xii)</t>
  </si>
  <si>
    <t>18(xiii)</t>
  </si>
  <si>
    <t>18(xiv)</t>
  </si>
  <si>
    <t>18(xix)</t>
  </si>
  <si>
    <t>18(xv)</t>
  </si>
  <si>
    <t>18(xvi)</t>
  </si>
  <si>
    <t>18(xvii)</t>
  </si>
  <si>
    <t>18(xviii)</t>
  </si>
  <si>
    <t>18(xx)</t>
  </si>
  <si>
    <t>18(xxi)</t>
  </si>
  <si>
    <t>180</t>
  </si>
  <si>
    <t>181</t>
  </si>
  <si>
    <t>181A</t>
  </si>
  <si>
    <t>182</t>
  </si>
  <si>
    <t>183</t>
  </si>
  <si>
    <t>184</t>
  </si>
  <si>
    <t>185</t>
  </si>
  <si>
    <t>19</t>
  </si>
  <si>
    <t>2</t>
  </si>
  <si>
    <t>2(a)</t>
  </si>
  <si>
    <t>2(b)</t>
  </si>
  <si>
    <t>2(i)</t>
  </si>
  <si>
    <t>2(ii)</t>
  </si>
  <si>
    <t>2(ii)(a)</t>
  </si>
  <si>
    <t>2(ii)(b)</t>
  </si>
  <si>
    <t>2(iii)</t>
  </si>
  <si>
    <t>20</t>
  </si>
  <si>
    <t>21</t>
  </si>
  <si>
    <t>22</t>
  </si>
  <si>
    <t>23</t>
  </si>
  <si>
    <t>24</t>
  </si>
  <si>
    <t>25</t>
  </si>
  <si>
    <t>26</t>
  </si>
  <si>
    <t>26(i)</t>
  </si>
  <si>
    <t>26(ii)</t>
  </si>
  <si>
    <t>26(iii)</t>
  </si>
  <si>
    <t>26(iv)</t>
  </si>
  <si>
    <t>26(ix)</t>
  </si>
  <si>
    <t>26(v)</t>
  </si>
  <si>
    <t>26(vi)</t>
  </si>
  <si>
    <t>26(vii)</t>
  </si>
  <si>
    <t>26(viii)</t>
  </si>
  <si>
    <t>26(x)</t>
  </si>
  <si>
    <t>26(xi)</t>
  </si>
  <si>
    <t>26(xii)</t>
  </si>
  <si>
    <t>26(xiii)</t>
  </si>
  <si>
    <t>26(xiv)</t>
  </si>
  <si>
    <t>26(xix)</t>
  </si>
  <si>
    <t>26(xv)</t>
  </si>
  <si>
    <t>26(xvi)</t>
  </si>
  <si>
    <t>26(xvii)</t>
  </si>
  <si>
    <t>26(xviii)</t>
  </si>
  <si>
    <t>27</t>
  </si>
  <si>
    <t>27(i)</t>
  </si>
  <si>
    <t>27(ii)</t>
  </si>
  <si>
    <t>27(iii)</t>
  </si>
  <si>
    <t>27(iv)</t>
  </si>
  <si>
    <t>27(v)</t>
  </si>
  <si>
    <t>27(vi)</t>
  </si>
  <si>
    <t>27(vii)</t>
  </si>
  <si>
    <t>27A</t>
  </si>
  <si>
    <t>28</t>
  </si>
  <si>
    <t>28(i)</t>
  </si>
  <si>
    <t>28(ii)</t>
  </si>
  <si>
    <t>28(iii)</t>
  </si>
  <si>
    <t>28(iv)</t>
  </si>
  <si>
    <t>28(v)</t>
  </si>
  <si>
    <t>28(vi)</t>
  </si>
  <si>
    <t>29</t>
  </si>
  <si>
    <t>29(i)</t>
  </si>
  <si>
    <t>29(ii)</t>
  </si>
  <si>
    <t>29(iii)</t>
  </si>
  <si>
    <t>29(iv)</t>
  </si>
  <si>
    <t>29(ix)</t>
  </si>
  <si>
    <t>29(v)</t>
  </si>
  <si>
    <t>29(vi)</t>
  </si>
  <si>
    <t>29(vii)</t>
  </si>
  <si>
    <t>29(viii)</t>
  </si>
  <si>
    <t>29(x)</t>
  </si>
  <si>
    <t>29(xi)</t>
  </si>
  <si>
    <t>29(xii)</t>
  </si>
  <si>
    <t>29(xiii)</t>
  </si>
  <si>
    <t>29(xiv)</t>
  </si>
  <si>
    <t>29(xv)</t>
  </si>
  <si>
    <t>29(xvi)</t>
  </si>
  <si>
    <t>29(xvii)</t>
  </si>
  <si>
    <t>29(xviii)</t>
  </si>
  <si>
    <t>29C</t>
  </si>
  <si>
    <t>2A</t>
  </si>
  <si>
    <t>2A(i)</t>
  </si>
  <si>
    <t>2A(ii)</t>
  </si>
  <si>
    <t>2A(iii)</t>
  </si>
  <si>
    <t>2A(iv)</t>
  </si>
  <si>
    <t>2A(ix)</t>
  </si>
  <si>
    <t>2A(v)</t>
  </si>
  <si>
    <t>2A(vi)</t>
  </si>
  <si>
    <t>2A(vii)</t>
  </si>
  <si>
    <t>2A(viii)</t>
  </si>
  <si>
    <t>2B</t>
  </si>
  <si>
    <t>2B(i)</t>
  </si>
  <si>
    <t>2B(ii)</t>
  </si>
  <si>
    <t>2B(iii)</t>
  </si>
  <si>
    <t>2C</t>
  </si>
  <si>
    <t>2C(i)</t>
  </si>
  <si>
    <t>2C(ii)</t>
  </si>
  <si>
    <t>2D</t>
  </si>
  <si>
    <t>2D(i)</t>
  </si>
  <si>
    <t>2D(ii)</t>
  </si>
  <si>
    <t>2E</t>
  </si>
  <si>
    <t>2F</t>
  </si>
  <si>
    <t>3</t>
  </si>
  <si>
    <t>3(1A)</t>
  </si>
  <si>
    <t>3(i)</t>
  </si>
  <si>
    <t>3(ii)</t>
  </si>
  <si>
    <t>30</t>
  </si>
  <si>
    <t>30(i)</t>
  </si>
  <si>
    <t>30(ii)</t>
  </si>
  <si>
    <t>31</t>
  </si>
  <si>
    <t>32</t>
  </si>
  <si>
    <t>33</t>
  </si>
  <si>
    <t>34</t>
  </si>
  <si>
    <t>34(1)</t>
  </si>
  <si>
    <t>34(2)</t>
  </si>
  <si>
    <t>34(3)</t>
  </si>
  <si>
    <t>34(4)</t>
  </si>
  <si>
    <t>35</t>
  </si>
  <si>
    <t>36</t>
  </si>
  <si>
    <t>37</t>
  </si>
  <si>
    <t>38</t>
  </si>
  <si>
    <t>39</t>
  </si>
  <si>
    <t>4</t>
  </si>
  <si>
    <t>4(1)</t>
  </si>
  <si>
    <t>4(2)</t>
  </si>
  <si>
    <t>40</t>
  </si>
  <si>
    <t>41</t>
  </si>
  <si>
    <t>42</t>
  </si>
  <si>
    <t>43</t>
  </si>
  <si>
    <t>44</t>
  </si>
  <si>
    <t>45</t>
  </si>
  <si>
    <t>45(i)</t>
  </si>
  <si>
    <t>45(ii)</t>
  </si>
  <si>
    <t>45(iii)</t>
  </si>
  <si>
    <t>45(iv)</t>
  </si>
  <si>
    <t>45v</t>
  </si>
  <si>
    <t>45vi</t>
  </si>
  <si>
    <t>46</t>
  </si>
  <si>
    <t>47</t>
  </si>
  <si>
    <t>48</t>
  </si>
  <si>
    <t>49</t>
  </si>
  <si>
    <t>5</t>
  </si>
  <si>
    <t>5(i)</t>
  </si>
  <si>
    <t>5(ii)</t>
  </si>
  <si>
    <t>50</t>
  </si>
  <si>
    <t>51</t>
  </si>
  <si>
    <t>52</t>
  </si>
  <si>
    <t>52A</t>
  </si>
  <si>
    <t>53</t>
  </si>
  <si>
    <t>53(i)</t>
  </si>
  <si>
    <t>53(ii)</t>
  </si>
  <si>
    <t>53(iii)</t>
  </si>
  <si>
    <t>53(iv)</t>
  </si>
  <si>
    <t>53(ix)</t>
  </si>
  <si>
    <t>53(v)</t>
  </si>
  <si>
    <t>53(vi)</t>
  </si>
  <si>
    <t>53(vii)</t>
  </si>
  <si>
    <t>53(viii)</t>
  </si>
  <si>
    <t>53(x)</t>
  </si>
  <si>
    <t>53(xi)</t>
  </si>
  <si>
    <t>53(xii)</t>
  </si>
  <si>
    <t>53(xiii)</t>
  </si>
  <si>
    <t>53(xiv)</t>
  </si>
  <si>
    <t>53(xix)</t>
  </si>
  <si>
    <t>53(xv)</t>
  </si>
  <si>
    <t>53(xvi)</t>
  </si>
  <si>
    <t>53(xvii)</t>
  </si>
  <si>
    <t>53(xviii)</t>
  </si>
  <si>
    <t>54</t>
  </si>
  <si>
    <t>55</t>
  </si>
  <si>
    <t>56</t>
  </si>
  <si>
    <t>56(i)</t>
  </si>
  <si>
    <t>56(ii)</t>
  </si>
  <si>
    <t>57</t>
  </si>
  <si>
    <t>58</t>
  </si>
  <si>
    <t>59</t>
  </si>
  <si>
    <t>6</t>
  </si>
  <si>
    <t>6(A)</t>
  </si>
  <si>
    <t>6(A)(i)</t>
  </si>
  <si>
    <t>6(A)(ii)</t>
  </si>
  <si>
    <t>6(A)(iii)</t>
  </si>
  <si>
    <t>6(A)(iv)</t>
  </si>
  <si>
    <t>6(A)(ix)</t>
  </si>
  <si>
    <t>6(A)(v)</t>
  </si>
  <si>
    <t>6(A)(vi)</t>
  </si>
  <si>
    <t>6(A)(vii)</t>
  </si>
  <si>
    <t>6(A)(viii)</t>
  </si>
  <si>
    <t>6(A)(x)</t>
  </si>
  <si>
    <t>6(i)</t>
  </si>
  <si>
    <t>6(ii)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</si>
  <si>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</si>
  <si>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</si>
  <si>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</si>
  <si>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</si>
  <si>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</si>
  <si>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</si>
  <si>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</si>
  <si>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</si>
  <si>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</si>
  <si>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</si>
  <si>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</t>
  </si>
  <si>
    <t>7(i)</t>
  </si>
  <si>
    <t>7(ii)</t>
  </si>
  <si>
    <t>70</t>
  </si>
  <si>
    <t>70(i)</t>
  </si>
  <si>
    <t>70(ii)</t>
  </si>
  <si>
    <t>70(iii)</t>
  </si>
  <si>
    <t>70(iv)</t>
  </si>
  <si>
    <t>70(v)</t>
  </si>
  <si>
    <t>70(vi)</t>
  </si>
  <si>
    <t>71</t>
  </si>
  <si>
    <t>72</t>
  </si>
  <si>
    <t>73</t>
  </si>
  <si>
    <t>73(a)</t>
  </si>
  <si>
    <t>73(b)</t>
  </si>
  <si>
    <t>73A</t>
  </si>
  <si>
    <t>74</t>
  </si>
  <si>
    <t>75</t>
  </si>
  <si>
    <t>76</t>
  </si>
  <si>
    <t>77</t>
  </si>
  <si>
    <t>78</t>
  </si>
  <si>
    <t>79</t>
  </si>
  <si>
    <t>8</t>
  </si>
  <si>
    <t>8(1)</t>
  </si>
  <si>
    <t>8(2)</t>
  </si>
  <si>
    <t>8(3)</t>
  </si>
  <si>
    <t>8(4)</t>
  </si>
  <si>
    <t>8(5)</t>
  </si>
  <si>
    <t>8(i)</t>
  </si>
  <si>
    <t>8(i)(a)</t>
  </si>
  <si>
    <t>8(i)(b)</t>
  </si>
  <si>
    <t>8(i)(c)</t>
  </si>
  <si>
    <t>8(ii)</t>
  </si>
  <si>
    <t>80</t>
  </si>
  <si>
    <t>81</t>
  </si>
  <si>
    <t>82</t>
  </si>
  <si>
    <t>83</t>
  </si>
  <si>
    <t>84</t>
  </si>
  <si>
    <t>84(i)</t>
  </si>
  <si>
    <t>84(ii)</t>
  </si>
  <si>
    <t>84(iii)</t>
  </si>
  <si>
    <t>84(iv)</t>
  </si>
  <si>
    <t>84(v)</t>
  </si>
  <si>
    <t>84(vi)</t>
  </si>
  <si>
    <t>84(vii)</t>
  </si>
  <si>
    <t>85</t>
  </si>
  <si>
    <t>86</t>
  </si>
  <si>
    <t>87</t>
  </si>
  <si>
    <t>88</t>
  </si>
  <si>
    <t>89</t>
  </si>
  <si>
    <t>8A</t>
  </si>
  <si>
    <t>9</t>
  </si>
  <si>
    <t>9(i)</t>
  </si>
  <si>
    <t>9(ii)</t>
  </si>
  <si>
    <t>9(iii)</t>
  </si>
  <si>
    <t>9(iv)</t>
  </si>
  <si>
    <t>9(ix)</t>
  </si>
  <si>
    <t>9(v)</t>
  </si>
  <si>
    <t>9(vi)</t>
  </si>
  <si>
    <t>9(vii)</t>
  </si>
  <si>
    <t>9(viii)</t>
  </si>
  <si>
    <t>9(x)</t>
  </si>
  <si>
    <t>9(xi)</t>
  </si>
  <si>
    <t>9(xii)</t>
  </si>
  <si>
    <t>9(xiii)</t>
  </si>
  <si>
    <t>9(xiv)</t>
  </si>
  <si>
    <t>9(xix)</t>
  </si>
  <si>
    <t>9(xv)</t>
  </si>
  <si>
    <t>9(xvi)</t>
  </si>
  <si>
    <t>9(xvii)</t>
  </si>
  <si>
    <t>9(xviii)</t>
  </si>
  <si>
    <t>9(xx)</t>
  </si>
  <si>
    <t>9(xxi)</t>
  </si>
  <si>
    <t>9(xxii)</t>
  </si>
  <si>
    <t>9(xxiii)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</si>
  <si>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</si>
  <si>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</si>
  <si>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</si>
  <si>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</si>
  <si>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</si>
  <si>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</si>
  <si>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</si>
  <si>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</si>
  <si>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</si>
  <si>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</si>
  <si>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Region-I</t>
  </si>
  <si>
    <t>Region-II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</si>
</sst>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4" x14ac:knownFonts="1">
    <font>
      <color theme="1"/>
      <family val="2"/>
      <scheme val="minor"/>
      <sz val="11"/>
      <name val="Calibri"/>
    </font>
    <font>
      <b/>
    </font>
    <font>
      <b/>
      <color rgb="FF0000FF"/>
    </font>
    <font>
      <color rgb="FF0000F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 applyAlignment="1">
      <alignment horizontal="left"/>
    </xf>
    <xf numFmtId="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1" fillId="0" borderId="0" xfId="0" applyFont="1"/>
    <xf numFmtId="49" fontId="1" fillId="0" borderId="0" xfId="0" applyNumberFormat="1" applyFont="1" applyAlignment="1">
      <alignment horizontal="left"/>
    </xf>
    <xf numFmtId="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right"/>
    </xf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7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9" style="1" customWidth="1"/>
    <col min="4" max="4" width="24" style="1" customWidth="1"/>
    <col min="5" max="9" width="14" customWidth="1"/>
    <col min="10" max="10" width="16" customWidth="1"/>
    <col min="11" max="11" width="22" customWidth="1"/>
    <col min="12" max="12" width="15" customWidth="1"/>
    <col min="13" max="16" width="14" customWidth="1"/>
    <col min="17" max="17" width="16" style="1" customWidth="1"/>
    <col min="18" max="18" width="18" style="1" customWidth="1"/>
    <col min="19" max="19" width="14" style="1" customWidth="1"/>
    <col min="20" max="20" width="17" style="1" customWidth="1"/>
    <col min="21" max="22" width="14" style="1" customWidth="1"/>
    <col min="23" max="23" width="31" style="1" customWidth="1"/>
    <col min="24" max="24" width="36" style="1" customWidth="1"/>
    <col min="25" max="25" width="14" customWidth="1"/>
    <col min="26" max="26" width="16" customWidth="1"/>
    <col min="27" max="28" width="14" customWidth="1"/>
    <col min="29" max="29" width="23" customWidth="1"/>
    <col min="30" max="30" width="24" customWidth="1"/>
    <col min="31" max="31" width="27" customWidth="1"/>
    <col min="32" max="33" width="14" customWidth="1"/>
    <col min="34" max="34" width="17" customWidth="1"/>
    <col min="35" max="35" width="14" style="2" customWidth="1"/>
    <col min="36" max="37" width="20" style="3" customWidth="1"/>
    <col min="38" max="38" width="14" customWidth="1"/>
    <col min="39" max="39" width="22" customWidth="1"/>
    <col min="40" max="40" width="23" customWidth="1"/>
    <col min="41" max="43" width="14" customWidth="1"/>
    <col min="44" max="44" width="20" customWidth="1"/>
    <col min="45" max="45" width="14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</cols>
  <sheetData>
    <row r="1" spans="1:45" s="4" customFormat="1" x14ac:dyDescent="0.25">
      <c r="A1" s="4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7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</row>
    <row r="2" spans="1:53" x14ac:dyDescent="0.25">
      <c r="R2" s="1"/>
      <c r="S2" s="1"/>
      <c r="T2" s="1"/>
      <c r="U2" s="1"/>
      <c r="V2" s="1">
        <f>IF($R2="","",TRIM(MID($R2,FIND(" - ",$R2)+3,LEN($R2))))</f>
      </c>
      <c r="W2" s="1"/>
      <c r="AC2" s="8" t="str">
        <f>IF(AND(AA2&lt;&gt;"",AB2&lt;&gt;""),AA2-AB2,IF(AA2&lt;&gt;"",AA2,""))</f>
        <v/>
      </c>
      <c r="AE2" s="8" t="str">
        <f>IF(AND(Z2&lt;&gt;"",AD2&lt;&gt;""),Z2*AD2,"")</f>
        <v/>
      </c>
      <c r="AI2" s="2"/>
      <c r="AJ2" s="3" t="str">
        <f>IF(AI2=18%,ROUND((AC2+AM2)*0.18,2),"")</f>
        <v/>
      </c>
      <c r="AK2" s="3" t="str">
        <f>IF(AI2=25%,ROUND((AC2+AM2)*0.25,2),"")</f>
        <v/>
      </c>
      <c r="AL2" s="9">
        <f>IF(OR($AC2="",$AD2=""),"",IFERROR($AC2/$AD2,0))</f>
      </c>
      <c r="AM2">
        <f>IF($AC2="","",
IF($S2="","",
IF(ISNUMBER(SEARCH("exempt",LOWER($S2))),0,
$AC2*(VALUE(SUBSTITUTE($S2,"%",""))/100))))</f>
      </c>
      <c r="AS2">
        <f>IF($AC2="","",
SUM($AC2,$AM2,$AQ2,$AN2,$AP2,$AO2,$AR2))</f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50</v>
      </c>
      <c r="BA2" t="s">
        <v>49</v>
      </c>
    </row>
    <row r="3" spans="1:53" x14ac:dyDescent="0.25">
      <c r="R3" s="1"/>
      <c r="S3" s="1"/>
      <c r="T3" s="1"/>
      <c r="U3" s="1"/>
      <c r="V3" s="1">
        <f>IF($R3="","",TRIM(MID($R3,FIND(" - ",$R3)+3,LEN($R3))))</f>
      </c>
      <c r="W3" s="1"/>
      <c r="AC3" s="8" t="str">
        <f>IF(AND(AA3&lt;&gt;"",AB3&lt;&gt;""),AA3-AB3,IF(AA3&lt;&gt;"",AA3,""))</f>
        <v/>
      </c>
      <c r="AE3" s="8" t="str">
        <f>IF(AND(Z3&lt;&gt;"",AD3&lt;&gt;""),Z3*AD3,"")</f>
        <v/>
      </c>
      <c r="AI3" s="2"/>
      <c r="AJ3" s="3" t="str">
        <f>IF(AI3=18%,ROUND((AC3+AM3)*0.18,2),"")</f>
        <v/>
      </c>
      <c r="AK3" s="3" t="str">
        <f>IF(AI3=25%,ROUND((AC3+AM3)*0.25,2),"")</f>
        <v/>
      </c>
      <c r="AL3" s="9">
        <f>IF(OR($AC3="",$AD3=""),"",IFERROR($AC3/$AD3,0))</f>
      </c>
      <c r="AM3">
        <f>IF($AC3="","",
IF($S3="","",
IF(ISNUMBER(SEARCH("exempt",LOWER($S3))),0,
$AC3*(VALUE(SUBSTITUTE($S3,"%",""))/100))))</f>
      </c>
      <c r="AS3">
        <f>IF($AC3="","",
SUM($AC3,$AM3,$AQ3,$AN3,$AP3,$AO3,$AR3))</f>
      </c>
      <c r="AT3" t="s">
        <v>51</v>
      </c>
      <c r="AU3" t="s">
        <v>52</v>
      </c>
      <c r="AV3" t="s">
        <v>53</v>
      </c>
      <c r="AW3" t="s">
        <v>54</v>
      </c>
      <c r="AX3" t="s">
        <v>55</v>
      </c>
      <c r="AY3" t="s">
        <v>56</v>
      </c>
      <c r="AZ3" t="s">
        <v>57</v>
      </c>
      <c r="BA3" t="s">
        <v>58</v>
      </c>
    </row>
    <row r="4" spans="1:52" x14ac:dyDescent="0.25">
      <c r="R4" s="1"/>
      <c r="S4" s="1"/>
      <c r="T4" s="1"/>
      <c r="U4" s="1"/>
      <c r="V4" s="1">
        <f>IF($R4="","",TRIM(MID($R4,FIND(" - ",$R4)+3,LEN($R4))))</f>
      </c>
      <c r="W4" s="1"/>
      <c r="AC4" s="8" t="str">
        <f>IF(AND(AA4&lt;&gt;"",AB4&lt;&gt;""),AA4-AB4,IF(AA4&lt;&gt;"",AA4,""))</f>
        <v/>
      </c>
      <c r="AE4" s="8" t="str">
        <f>IF(AND(Z4&lt;&gt;"",AD4&lt;&gt;""),Z4*AD4,"")</f>
        <v/>
      </c>
      <c r="AI4" s="2"/>
      <c r="AJ4" s="3" t="str">
        <f>IF(AI4=18%,ROUND((AC4+AM4)*0.18,2),"")</f>
        <v/>
      </c>
      <c r="AK4" s="3" t="str">
        <f>IF(AI4=25%,ROUND((AC4+AM4)*0.25,2),"")</f>
        <v/>
      </c>
      <c r="AL4" s="9">
        <f>IF(OR($AC4="",$AD4=""),"",IFERROR($AC4/$AD4,0))</f>
      </c>
      <c r="AM4">
        <f>IF($AC4="","",
IF($S4="","",
IF(ISNUMBER(SEARCH("exempt",LOWER($S4))),0,
$AC4*(VALUE(SUBSTITUTE($S4,"%",""))/100))))</f>
      </c>
      <c r="AS4">
        <f>IF($AC4="","",
SUM($AC4,$AM4,$AQ4,$AN4,$AP4,$AO4,$AR4))</f>
      </c>
      <c r="AU4" t="s">
        <v>59</v>
      </c>
      <c r="AV4" t="s">
        <v>60</v>
      </c>
      <c r="AW4" t="s">
        <v>61</v>
      </c>
      <c r="AX4" t="s">
        <v>62</v>
      </c>
      <c r="AY4" t="s">
        <v>63</v>
      </c>
      <c r="AZ4" t="s">
        <v>64</v>
      </c>
    </row>
    <row r="5" spans="1:52" x14ac:dyDescent="0.25">
      <c r="R5" s="1"/>
      <c r="S5" s="1"/>
      <c r="T5" s="1"/>
      <c r="U5" s="1"/>
      <c r="V5" s="1">
        <f>IF($R5="","",TRIM(MID($R5,FIND(" - ",$R5)+3,LEN($R5))))</f>
      </c>
      <c r="W5" s="1"/>
      <c r="AC5" s="8" t="str">
        <f>IF(AND(AA5&lt;&gt;"",AB5&lt;&gt;""),AA5-AB5,IF(AA5&lt;&gt;"",AA5,""))</f>
        <v/>
      </c>
      <c r="AE5" s="8" t="str">
        <f>IF(AND(Z5&lt;&gt;"",AD5&lt;&gt;""),Z5*AD5,"")</f>
        <v/>
      </c>
      <c r="AI5" s="2"/>
      <c r="AJ5" s="3" t="str">
        <f>IF(AI5=18%,ROUND((AC5+AM5)*0.18,2),"")</f>
        <v/>
      </c>
      <c r="AK5" s="3" t="str">
        <f>IF(AI5=25%,ROUND((AC5+AM5)*0.25,2),"")</f>
        <v/>
      </c>
      <c r="AL5" s="9">
        <f>IF(OR($AC5="",$AD5=""),"",IFERROR($AC5/$AD5,0))</f>
      </c>
      <c r="AM5">
        <f>IF($AC5="","",
IF($S5="","",
IF(ISNUMBER(SEARCH("exempt",LOWER($S5))),0,
$AC5*(VALUE(SUBSTITUTE($S5,"%",""))/100))))</f>
      </c>
      <c r="AS5">
        <f>IF($AC5="","",
SUM($AC5,$AM5,$AQ5,$AN5,$AP5,$AO5,$AR5))</f>
      </c>
      <c r="AU5" t="s">
        <v>65</v>
      </c>
      <c r="AV5" t="s">
        <v>66</v>
      </c>
      <c r="AW5" t="s">
        <v>67</v>
      </c>
      <c r="AX5" t="s">
        <v>68</v>
      </c>
      <c r="AY5" t="s">
        <v>69</v>
      </c>
      <c r="AZ5" t="s">
        <v>70</v>
      </c>
    </row>
    <row r="6" spans="1:52" x14ac:dyDescent="0.25">
      <c r="R6" s="1"/>
      <c r="S6" s="1"/>
      <c r="T6" s="1"/>
      <c r="U6" s="1"/>
      <c r="V6" s="1">
        <f>IF($R6="","",TRIM(MID($R6,FIND(" - ",$R6)+3,LEN($R6))))</f>
      </c>
      <c r="W6" s="1"/>
      <c r="AC6" s="8" t="str">
        <f>IF(AND(AA6&lt;&gt;"",AB6&lt;&gt;""),AA6-AB6,IF(AA6&lt;&gt;"",AA6,""))</f>
        <v/>
      </c>
      <c r="AE6" s="8" t="str">
        <f>IF(AND(Z6&lt;&gt;"",AD6&lt;&gt;""),Z6*AD6,"")</f>
        <v/>
      </c>
      <c r="AI6" s="2"/>
      <c r="AJ6" s="3" t="str">
        <f>IF(AI6=18%,ROUND((AC6+AM6)*0.18,2),"")</f>
        <v/>
      </c>
      <c r="AK6" s="3" t="str">
        <f>IF(AI6=25%,ROUND((AC6+AM6)*0.25,2),"")</f>
        <v/>
      </c>
      <c r="AL6" s="9">
        <f>IF(OR($AC6="",$AD6=""),"",IFERROR($AC6/$AD6,0))</f>
      </c>
      <c r="AM6">
        <f>IF($AC6="","",
IF($S6="","",
IF(ISNUMBER(SEARCH("exempt",LOWER($S6))),0,
$AC6*(VALUE(SUBSTITUTE($S6,"%",""))/100))))</f>
      </c>
      <c r="AS6">
        <f>IF($AC6="","",
SUM($AC6,$AM6,$AQ6,$AN6,$AP6,$AO6,$AR6))</f>
      </c>
      <c r="AU6" t="s">
        <v>71</v>
      </c>
      <c r="AV6" t="s">
        <v>72</v>
      </c>
      <c r="AW6" t="s">
        <v>73</v>
      </c>
      <c r="AX6" t="s">
        <v>74</v>
      </c>
      <c r="AY6" t="s">
        <v>75</v>
      </c>
      <c r="AZ6" t="s">
        <v>76</v>
      </c>
    </row>
    <row r="7" spans="1:52" x14ac:dyDescent="0.25">
      <c r="R7" s="1"/>
      <c r="S7" s="1"/>
      <c r="T7" s="1"/>
      <c r="U7" s="1"/>
      <c r="V7" s="1">
        <f>IF($R7="","",TRIM(MID($R7,FIND(" - ",$R7)+3,LEN($R7))))</f>
      </c>
      <c r="W7" s="1"/>
      <c r="AC7" s="8" t="str">
        <f>IF(AND(AA7&lt;&gt;"",AB7&lt;&gt;""),AA7-AB7,IF(AA7&lt;&gt;"",AA7,""))</f>
        <v/>
      </c>
      <c r="AE7" s="8" t="str">
        <f>IF(AND(Z7&lt;&gt;"",AD7&lt;&gt;""),Z7*AD7,"")</f>
        <v/>
      </c>
      <c r="AI7" s="2"/>
      <c r="AJ7" s="3" t="str">
        <f>IF(AI7=18%,ROUND((AC7+AM7)*0.18,2),"")</f>
        <v/>
      </c>
      <c r="AK7" s="3" t="str">
        <f>IF(AI7=25%,ROUND((AC7+AM7)*0.25,2),"")</f>
        <v/>
      </c>
      <c r="AL7" s="9">
        <f>IF(OR($AC7="",$AD7=""),"",IFERROR($AC7/$AD7,0))</f>
      </c>
      <c r="AM7">
        <f>IF($AC7="","",
IF($S7="","",
IF(ISNUMBER(SEARCH("exempt",LOWER($S7))),0,
$AC7*(VALUE(SUBSTITUTE($S7,"%",""))/100))))</f>
      </c>
      <c r="AS7">
        <f>IF($AC7="","",
SUM($AC7,$AM7,$AQ7,$AN7,$AP7,$AO7,$AR7))</f>
      </c>
      <c r="AU7" t="s">
        <v>77</v>
      </c>
      <c r="AV7" t="s">
        <v>78</v>
      </c>
      <c r="AW7" t="s">
        <v>79</v>
      </c>
      <c r="AX7" t="s">
        <v>80</v>
      </c>
      <c r="AY7" t="s">
        <v>81</v>
      </c>
      <c r="AZ7" t="s">
        <v>82</v>
      </c>
    </row>
    <row r="8" spans="1:52" x14ac:dyDescent="0.25">
      <c r="R8" s="1"/>
      <c r="S8" s="1"/>
      <c r="T8" s="1"/>
      <c r="U8" s="1"/>
      <c r="V8" s="1">
        <f>IF($R8="","",TRIM(MID($R8,FIND(" - ",$R8)+3,LEN($R8))))</f>
      </c>
      <c r="W8" s="1"/>
      <c r="AC8" s="8" t="str">
        <f>IF(AND(AA8&lt;&gt;"",AB8&lt;&gt;""),AA8-AB8,IF(AA8&lt;&gt;"",AA8,""))</f>
        <v/>
      </c>
      <c r="AE8" s="8" t="str">
        <f>IF(AND(Z8&lt;&gt;"",AD8&lt;&gt;""),Z8*AD8,"")</f>
        <v/>
      </c>
      <c r="AI8" s="2"/>
      <c r="AJ8" s="3" t="str">
        <f>IF(AI8=18%,ROUND((AC8+AM8)*0.18,2),"")</f>
        <v/>
      </c>
      <c r="AK8" s="3" t="str">
        <f>IF(AI8=25%,ROUND((AC8+AM8)*0.25,2),"")</f>
        <v/>
      </c>
      <c r="AL8" s="9">
        <f>IF(OR($AC8="",$AD8=""),"",IFERROR($AC8/$AD8,0))</f>
      </c>
      <c r="AM8">
        <f>IF($AC8="","",
IF($S8="","",
IF(ISNUMBER(SEARCH("exempt",LOWER($S8))),0,
$AC8*(VALUE(SUBSTITUTE($S8,"%",""))/100))))</f>
      </c>
      <c r="AS8">
        <f>IF($AC8="","",
SUM($AC8,$AM8,$AQ8,$AN8,$AP8,$AO8,$AR8))</f>
      </c>
      <c r="AU8" t="s">
        <v>83</v>
      </c>
      <c r="AV8" t="s">
        <v>84</v>
      </c>
      <c r="AW8" t="s">
        <v>85</v>
      </c>
      <c r="AX8" t="s">
        <v>86</v>
      </c>
      <c r="AY8" t="s">
        <v>87</v>
      </c>
      <c r="AZ8" t="s">
        <v>88</v>
      </c>
    </row>
    <row r="9" spans="1:52" x14ac:dyDescent="0.25">
      <c r="R9" s="1"/>
      <c r="S9" s="1"/>
      <c r="T9" s="1"/>
      <c r="U9" s="1"/>
      <c r="V9" s="1">
        <f>IF($R9="","",TRIM(MID($R9,FIND(" - ",$R9)+3,LEN($R9))))</f>
      </c>
      <c r="W9" s="1"/>
      <c r="AC9" s="8" t="str">
        <f>IF(AND(AA9&lt;&gt;"",AB9&lt;&gt;""),AA9-AB9,IF(AA9&lt;&gt;"",AA9,""))</f>
        <v/>
      </c>
      <c r="AE9" s="8" t="str">
        <f>IF(AND(Z9&lt;&gt;"",AD9&lt;&gt;""),Z9*AD9,"")</f>
        <v/>
      </c>
      <c r="AI9" s="2"/>
      <c r="AJ9" s="3" t="str">
        <f>IF(AI9=18%,ROUND((AC9+AM9)*0.18,2),"")</f>
        <v/>
      </c>
      <c r="AK9" s="3" t="str">
        <f>IF(AI9=25%,ROUND((AC9+AM9)*0.25,2),"")</f>
        <v/>
      </c>
      <c r="AL9" s="9">
        <f>IF(OR($AC9="",$AD9=""),"",IFERROR($AC9/$AD9,0))</f>
      </c>
      <c r="AM9">
        <f>IF($AC9="","",
IF($S9="","",
IF(ISNUMBER(SEARCH("exempt",LOWER($S9))),0,
$AC9*(VALUE(SUBSTITUTE($S9,"%",""))/100))))</f>
      </c>
      <c r="AS9">
        <f>IF($AC9="","",
SUM($AC9,$AM9,$AQ9,$AN9,$AP9,$AO9,$AR9))</f>
      </c>
      <c r="AV9" t="s">
        <v>89</v>
      </c>
      <c r="AW9" t="s">
        <v>90</v>
      </c>
      <c r="AX9" t="s">
        <v>91</v>
      </c>
      <c r="AY9" t="s">
        <v>92</v>
      </c>
      <c r="AZ9" t="s">
        <v>93</v>
      </c>
    </row>
    <row r="10" spans="1:52" x14ac:dyDescent="0.25">
      <c r="R10" s="1"/>
      <c r="S10" s="1"/>
      <c r="T10" s="1"/>
      <c r="U10" s="1"/>
      <c r="V10" s="1">
        <f>IF($R10="","",TRIM(MID($R10,FIND(" - ",$R10)+3,LEN($R10))))</f>
      </c>
      <c r="W10" s="1"/>
      <c r="AC10" s="8" t="str">
        <f>IF(AND(AA10&lt;&gt;"",AB10&lt;&gt;""),AA10-AB10,IF(AA10&lt;&gt;"",AA10,""))</f>
        <v/>
      </c>
      <c r="AE10" s="8" t="str">
        <f>IF(AND(Z10&lt;&gt;"",AD10&lt;&gt;""),Z10*AD10,"")</f>
        <v/>
      </c>
      <c r="AI10" s="2"/>
      <c r="AJ10" s="3" t="str">
        <f>IF(AI10=18%,ROUND((AC10+AM10)*0.18,2),"")</f>
        <v/>
      </c>
      <c r="AK10" s="3" t="str">
        <f>IF(AI10=25%,ROUND((AC10+AM10)*0.25,2),"")</f>
        <v/>
      </c>
      <c r="AL10" s="9">
        <f>IF(OR($AC10="",$AD10=""),"",IFERROR($AC10/$AD10,0))</f>
      </c>
      <c r="AM10">
        <f>IF($AC10="","",
IF($S10="","",
IF(ISNUMBER(SEARCH("exempt",LOWER($S10))),0,
$AC10*(VALUE(SUBSTITUTE($S10,"%",""))/100))))</f>
      </c>
      <c r="AS10">
        <f>IF($AC10="","",
SUM($AC10,$AM10,$AQ10,$AN10,$AP10,$AO10,$AR10))</f>
      </c>
      <c r="AV10" t="s">
        <v>94</v>
      </c>
      <c r="AW10" t="s">
        <v>95</v>
      </c>
      <c r="AX10" t="s">
        <v>96</v>
      </c>
      <c r="AY10" t="s">
        <v>97</v>
      </c>
      <c r="AZ10" t="s">
        <v>98</v>
      </c>
    </row>
    <row r="11" spans="1:52" x14ac:dyDescent="0.25">
      <c r="R11" s="1"/>
      <c r="S11" s="1"/>
      <c r="T11" s="1"/>
      <c r="U11" s="1"/>
      <c r="V11" s="1">
        <f>IF($R11="","",TRIM(MID($R11,FIND(" - ",$R11)+3,LEN($R11))))</f>
      </c>
      <c r="W11" s="1"/>
      <c r="AC11" s="8" t="str">
        <f>IF(AND(AA11&lt;&gt;"",AB11&lt;&gt;""),AA11-AB11,IF(AA11&lt;&gt;"",AA11,""))</f>
        <v/>
      </c>
      <c r="AE11" s="8" t="str">
        <f>IF(AND(Z11&lt;&gt;"",AD11&lt;&gt;""),Z11*AD11,"")</f>
        <v/>
      </c>
      <c r="AI11" s="2"/>
      <c r="AJ11" s="3" t="str">
        <f>IF(AI11=18%,ROUND((AC11+AM11)*0.18,2),"")</f>
        <v/>
      </c>
      <c r="AK11" s="3" t="str">
        <f>IF(AI11=25%,ROUND((AC11+AM11)*0.25,2),"")</f>
        <v/>
      </c>
      <c r="AL11" s="9">
        <f>IF(OR($AC11="",$AD11=""),"",IFERROR($AC11/$AD11,0))</f>
      </c>
      <c r="AM11">
        <f>IF($AC11="","",
IF($S11="","",
IF(ISNUMBER(SEARCH("exempt",LOWER($S11))),0,
$AC11*(VALUE(SUBSTITUTE($S11,"%",""))/100))))</f>
      </c>
      <c r="AS11">
        <f>IF($AC11="","",
SUM($AC11,$AM11,$AQ11,$AN11,$AP11,$AO11,$AR11))</f>
      </c>
      <c r="AV11" t="s">
        <v>99</v>
      </c>
      <c r="AW11" t="s">
        <v>100</v>
      </c>
      <c r="AX11" t="s">
        <v>101</v>
      </c>
      <c r="AY11" t="s">
        <v>102</v>
      </c>
      <c r="AZ11" t="s">
        <v>103</v>
      </c>
    </row>
    <row r="12" spans="1:52" x14ac:dyDescent="0.25">
      <c r="R12" s="1"/>
      <c r="S12" s="1"/>
      <c r="T12" s="1"/>
      <c r="U12" s="1"/>
      <c r="V12" s="1">
        <f>IF($R12="","",TRIM(MID($R12,FIND(" - ",$R12)+3,LEN($R12))))</f>
      </c>
      <c r="W12" s="1"/>
      <c r="AC12" s="8" t="str">
        <f>IF(AND(AA12&lt;&gt;"",AB12&lt;&gt;""),AA12-AB12,IF(AA12&lt;&gt;"",AA12,""))</f>
        <v/>
      </c>
      <c r="AE12" s="8" t="str">
        <f>IF(AND(Z12&lt;&gt;"",AD12&lt;&gt;""),Z12*AD12,"")</f>
        <v/>
      </c>
      <c r="AI12" s="2"/>
      <c r="AJ12" s="3" t="str">
        <f>IF(AI12=18%,ROUND((AC12+AM12)*0.18,2),"")</f>
        <v/>
      </c>
      <c r="AK12" s="3" t="str">
        <f>IF(AI12=25%,ROUND((AC12+AM12)*0.25,2),"")</f>
        <v/>
      </c>
      <c r="AL12" s="9">
        <f>IF(OR($AC12="",$AD12=""),"",IFERROR($AC12/$AD12,0))</f>
      </c>
      <c r="AM12">
        <f>IF($AC12="","",
IF($S12="","",
IF(ISNUMBER(SEARCH("exempt",LOWER($S12))),0,
$AC12*(VALUE(SUBSTITUTE($S12,"%",""))/100))))</f>
      </c>
      <c r="AS12">
        <f>IF($AC12="","",
SUM($AC12,$AM12,$AQ12,$AN12,$AP12,$AO12,$AR12))</f>
      </c>
      <c r="AV12" t="s">
        <v>104</v>
      </c>
      <c r="AW12" t="s">
        <v>105</v>
      </c>
      <c r="AX12" t="s">
        <v>106</v>
      </c>
      <c r="AY12" t="s">
        <v>107</v>
      </c>
      <c r="AZ12" t="s">
        <v>108</v>
      </c>
    </row>
    <row r="13" spans="1:52" x14ac:dyDescent="0.25">
      <c r="R13" s="1"/>
      <c r="S13" s="1"/>
      <c r="T13" s="1"/>
      <c r="U13" s="1"/>
      <c r="V13" s="1">
        <f>IF($R13="","",TRIM(MID($R13,FIND(" - ",$R13)+3,LEN($R13))))</f>
      </c>
      <c r="W13" s="1"/>
      <c r="AC13" s="8" t="str">
        <f>IF(AND(AA13&lt;&gt;"",AB13&lt;&gt;""),AA13-AB13,IF(AA13&lt;&gt;"",AA13,""))</f>
        <v/>
      </c>
      <c r="AE13" s="8" t="str">
        <f>IF(AND(Z13&lt;&gt;"",AD13&lt;&gt;""),Z13*AD13,"")</f>
        <v/>
      </c>
      <c r="AI13" s="2"/>
      <c r="AJ13" s="3" t="str">
        <f>IF(AI13=18%,ROUND((AC13+AM13)*0.18,2),"")</f>
        <v/>
      </c>
      <c r="AK13" s="3" t="str">
        <f>IF(AI13=25%,ROUND((AC13+AM13)*0.25,2),"")</f>
        <v/>
      </c>
      <c r="AL13" s="9">
        <f>IF(OR($AC13="",$AD13=""),"",IFERROR($AC13/$AD13,0))</f>
      </c>
      <c r="AM13">
        <f>IF($AC13="","",
IF($S13="","",
IF(ISNUMBER(SEARCH("exempt",LOWER($S13))),0,
$AC13*(VALUE(SUBSTITUTE($S13,"%",""))/100))))</f>
      </c>
      <c r="AS13">
        <f>IF($AC13="","",
SUM($AC13,$AM13,$AQ13,$AN13,$AP13,$AO13,$AR13))</f>
      </c>
      <c r="AV13" t="s">
        <v>109</v>
      </c>
      <c r="AW13" t="s">
        <v>110</v>
      </c>
      <c r="AX13" t="s">
        <v>111</v>
      </c>
      <c r="AY13" t="s">
        <v>112</v>
      </c>
      <c r="AZ13" t="s">
        <v>113</v>
      </c>
    </row>
    <row r="14" spans="1:52" x14ac:dyDescent="0.25">
      <c r="R14" s="1"/>
      <c r="S14" s="1"/>
      <c r="T14" s="1"/>
      <c r="U14" s="1"/>
      <c r="V14" s="1">
        <f>IF($R14="","",TRIM(MID($R14,FIND(" - ",$R14)+3,LEN($R14))))</f>
      </c>
      <c r="W14" s="1"/>
      <c r="AC14" s="8" t="str">
        <f>IF(AND(AA14&lt;&gt;"",AB14&lt;&gt;""),AA14-AB14,IF(AA14&lt;&gt;"",AA14,""))</f>
        <v/>
      </c>
      <c r="AE14" s="8" t="str">
        <f>IF(AND(Z14&lt;&gt;"",AD14&lt;&gt;""),Z14*AD14,"")</f>
        <v/>
      </c>
      <c r="AI14" s="2"/>
      <c r="AJ14" s="3" t="str">
        <f>IF(AI14=18%,ROUND((AC14+AM14)*0.18,2),"")</f>
        <v/>
      </c>
      <c r="AK14" s="3" t="str">
        <f>IF(AI14=25%,ROUND((AC14+AM14)*0.25,2),"")</f>
        <v/>
      </c>
      <c r="AL14" s="9">
        <f>IF(OR($AC14="",$AD14=""),"",IFERROR($AC14/$AD14,0))</f>
      </c>
      <c r="AM14">
        <f>IF($AC14="","",
IF($S14="","",
IF(ISNUMBER(SEARCH("exempt",LOWER($S14))),0,
$AC14*(VALUE(SUBSTITUTE($S14,"%",""))/100))))</f>
      </c>
      <c r="AS14">
        <f>IF($AC14="","",
SUM($AC14,$AM14,$AQ14,$AN14,$AP14,$AO14,$AR14))</f>
      </c>
      <c r="AV14" t="s">
        <v>114</v>
      </c>
      <c r="AW14" t="s">
        <v>115</v>
      </c>
      <c r="AX14" t="s">
        <v>116</v>
      </c>
      <c r="AY14" t="s">
        <v>117</v>
      </c>
      <c r="AZ14" t="s">
        <v>118</v>
      </c>
    </row>
    <row r="15" spans="1:52" x14ac:dyDescent="0.25">
      <c r="R15" s="1"/>
      <c r="S15" s="1"/>
      <c r="T15" s="1"/>
      <c r="U15" s="1"/>
      <c r="V15" s="1">
        <f>IF($R15="","",TRIM(MID($R15,FIND(" - ",$R15)+3,LEN($R15))))</f>
      </c>
      <c r="W15" s="1"/>
      <c r="AC15" s="8" t="str">
        <f>IF(AND(AA15&lt;&gt;"",AB15&lt;&gt;""),AA15-AB15,IF(AA15&lt;&gt;"",AA15,""))</f>
        <v/>
      </c>
      <c r="AE15" s="8" t="str">
        <f>IF(AND(Z15&lt;&gt;"",AD15&lt;&gt;""),Z15*AD15,"")</f>
        <v/>
      </c>
      <c r="AI15" s="2"/>
      <c r="AJ15" s="3" t="str">
        <f>IF(AI15=18%,ROUND((AC15+AM15)*0.18,2),"")</f>
        <v/>
      </c>
      <c r="AK15" s="3" t="str">
        <f>IF(AI15=25%,ROUND((AC15+AM15)*0.25,2),"")</f>
        <v/>
      </c>
      <c r="AL15" s="9">
        <f>IF(OR($AC15="",$AD15=""),"",IFERROR($AC15/$AD15,0))</f>
      </c>
      <c r="AM15">
        <f>IF($AC15="","",
IF($S15="","",
IF(ISNUMBER(SEARCH("exempt",LOWER($S15))),0,
$AC15*(VALUE(SUBSTITUTE($S15,"%",""))/100))))</f>
      </c>
      <c r="AS15">
        <f>IF($AC15="","",
SUM($AC15,$AM15,$AQ15,$AN15,$AP15,$AO15,$AR15))</f>
      </c>
      <c r="AV15" t="s">
        <v>119</v>
      </c>
      <c r="AW15" t="s">
        <v>120</v>
      </c>
      <c r="AX15" t="s">
        <v>121</v>
      </c>
      <c r="AY15" t="s">
        <v>122</v>
      </c>
      <c r="AZ15" t="s">
        <v>123</v>
      </c>
    </row>
    <row r="16" spans="1:52" x14ac:dyDescent="0.25">
      <c r="R16" s="1"/>
      <c r="S16" s="1"/>
      <c r="T16" s="1"/>
      <c r="U16" s="1"/>
      <c r="V16" s="1">
        <f>IF($R16="","",TRIM(MID($R16,FIND(" - ",$R16)+3,LEN($R16))))</f>
      </c>
      <c r="W16" s="1"/>
      <c r="AC16" s="8" t="str">
        <f>IF(AND(AA16&lt;&gt;"",AB16&lt;&gt;""),AA16-AB16,IF(AA16&lt;&gt;"",AA16,""))</f>
        <v/>
      </c>
      <c r="AE16" s="8" t="str">
        <f>IF(AND(Z16&lt;&gt;"",AD16&lt;&gt;""),Z16*AD16,"")</f>
        <v/>
      </c>
      <c r="AI16" s="2"/>
      <c r="AJ16" s="3" t="str">
        <f>IF(AI16=18%,ROUND((AC16+AM16)*0.18,2),"")</f>
        <v/>
      </c>
      <c r="AK16" s="3" t="str">
        <f>IF(AI16=25%,ROUND((AC16+AM16)*0.25,2),"")</f>
        <v/>
      </c>
      <c r="AL16" s="9">
        <f>IF(OR($AC16="",$AD16=""),"",IFERROR($AC16/$AD16,0))</f>
      </c>
      <c r="AM16">
        <f>IF($AC16="","",
IF($S16="","",
IF(ISNUMBER(SEARCH("exempt",LOWER($S16))),0,
$AC16*(VALUE(SUBSTITUTE($S16,"%",""))/100))))</f>
      </c>
      <c r="AS16">
        <f>IF($AC16="","",
SUM($AC16,$AM16,$AQ16,$AN16,$AP16,$AO16,$AR16))</f>
      </c>
      <c r="AV16" t="s">
        <v>124</v>
      </c>
      <c r="AW16" t="s">
        <v>125</v>
      </c>
      <c r="AX16" t="s">
        <v>126</v>
      </c>
      <c r="AY16" t="s">
        <v>127</v>
      </c>
      <c r="AZ16" t="s">
        <v>128</v>
      </c>
    </row>
    <row r="17" spans="1:52" x14ac:dyDescent="0.25">
      <c r="R17" s="1"/>
      <c r="S17" s="1"/>
      <c r="T17" s="1"/>
      <c r="U17" s="1"/>
      <c r="V17" s="1">
        <f>IF($R17="","",TRIM(MID($R17,FIND(" - ",$R17)+3,LEN($R17))))</f>
      </c>
      <c r="W17" s="1"/>
      <c r="AC17" s="8" t="str">
        <f>IF(AND(AA17&lt;&gt;"",AB17&lt;&gt;""),AA17-AB17,IF(AA17&lt;&gt;"",AA17,""))</f>
        <v/>
      </c>
      <c r="AE17" s="8" t="str">
        <f>IF(AND(Z17&lt;&gt;"",AD17&lt;&gt;""),Z17*AD17,"")</f>
        <v/>
      </c>
      <c r="AI17" s="2"/>
      <c r="AJ17" s="3" t="str">
        <f>IF(AI17=18%,ROUND((AC17+AM17)*0.18,2),"")</f>
        <v/>
      </c>
      <c r="AK17" s="3" t="str">
        <f>IF(AI17=25%,ROUND((AC17+AM17)*0.25,2),"")</f>
        <v/>
      </c>
      <c r="AL17" s="9">
        <f>IF(OR($AC17="",$AD17=""),"",IFERROR($AC17/$AD17,0))</f>
      </c>
      <c r="AM17">
        <f>IF($AC17="","",
IF($S17="","",
IF(ISNUMBER(SEARCH("exempt",LOWER($S17))),0,
$AC17*(VALUE(SUBSTITUTE($S17,"%",""))/100))))</f>
      </c>
      <c r="AS17">
        <f>IF($AC17="","",
SUM($AC17,$AM17,$AQ17,$AN17,$AP17,$AO17,$AR17))</f>
      </c>
      <c r="AV17" t="s">
        <v>129</v>
      </c>
      <c r="AW17" t="s">
        <v>130</v>
      </c>
      <c r="AX17" t="s">
        <v>131</v>
      </c>
      <c r="AY17" t="s">
        <v>132</v>
      </c>
      <c r="AZ17" t="s">
        <v>133</v>
      </c>
    </row>
    <row r="18" spans="1:52" x14ac:dyDescent="0.25">
      <c r="R18" s="1"/>
      <c r="S18" s="1"/>
      <c r="T18" s="1"/>
      <c r="U18" s="1"/>
      <c r="V18" s="1">
        <f>IF($R18="","",TRIM(MID($R18,FIND(" - ",$R18)+3,LEN($R18))))</f>
      </c>
      <c r="W18" s="1"/>
      <c r="AC18" s="8" t="str">
        <f>IF(AND(AA18&lt;&gt;"",AB18&lt;&gt;""),AA18-AB18,IF(AA18&lt;&gt;"",AA18,""))</f>
        <v/>
      </c>
      <c r="AE18" s="8" t="str">
        <f>IF(AND(Z18&lt;&gt;"",AD18&lt;&gt;""),Z18*AD18,"")</f>
        <v/>
      </c>
      <c r="AI18" s="2"/>
      <c r="AJ18" s="3" t="str">
        <f>IF(AI18=18%,ROUND((AC18+AM18)*0.18,2),"")</f>
        <v/>
      </c>
      <c r="AK18" s="3" t="str">
        <f>IF(AI18=25%,ROUND((AC18+AM18)*0.25,2),"")</f>
        <v/>
      </c>
      <c r="AL18" s="9">
        <f>IF(OR($AC18="",$AD18=""),"",IFERROR($AC18/$AD18,0))</f>
      </c>
      <c r="AM18">
        <f>IF($AC18="","",
IF($S18="","",
IF(ISNUMBER(SEARCH("exempt",LOWER($S18))),0,
$AC18*(VALUE(SUBSTITUTE($S18,"%",""))/100))))</f>
      </c>
      <c r="AS18">
        <f>IF($AC18="","",
SUM($AC18,$AM18,$AQ18,$AN18,$AP18,$AO18,$AR18))</f>
      </c>
      <c r="AV18" t="s">
        <v>134</v>
      </c>
      <c r="AW18" t="s">
        <v>135</v>
      </c>
      <c r="AX18" t="s">
        <v>136</v>
      </c>
      <c r="AY18" t="s">
        <v>137</v>
      </c>
      <c r="AZ18" t="s">
        <v>138</v>
      </c>
    </row>
    <row r="19" spans="1:52" x14ac:dyDescent="0.25">
      <c r="R19" s="1"/>
      <c r="S19" s="1"/>
      <c r="T19" s="1"/>
      <c r="U19" s="1"/>
      <c r="V19" s="1">
        <f>IF($R19="","",TRIM(MID($R19,FIND(" - ",$R19)+3,LEN($R19))))</f>
      </c>
      <c r="W19" s="1"/>
      <c r="AC19" s="8" t="str">
        <f>IF(AND(AA19&lt;&gt;"",AB19&lt;&gt;""),AA19-AB19,IF(AA19&lt;&gt;"",AA19,""))</f>
        <v/>
      </c>
      <c r="AE19" s="8" t="str">
        <f>IF(AND(Z19&lt;&gt;"",AD19&lt;&gt;""),Z19*AD19,"")</f>
        <v/>
      </c>
      <c r="AI19" s="2"/>
      <c r="AJ19" s="3" t="str">
        <f>IF(AI19=18%,ROUND((AC19+AM19)*0.18,2),"")</f>
        <v/>
      </c>
      <c r="AK19" s="3" t="str">
        <f>IF(AI19=25%,ROUND((AC19+AM19)*0.25,2),"")</f>
        <v/>
      </c>
      <c r="AL19" s="9">
        <f>IF(OR($AC19="",$AD19=""),"",IFERROR($AC19/$AD19,0))</f>
      </c>
      <c r="AM19">
        <f>IF($AC19="","",
IF($S19="","",
IF(ISNUMBER(SEARCH("exempt",LOWER($S19))),0,
$AC19*(VALUE(SUBSTITUTE($S19,"%",""))/100))))</f>
      </c>
      <c r="AS19">
        <f>IF($AC19="","",
SUM($AC19,$AM19,$AQ19,$AN19,$AP19,$AO19,$AR19))</f>
      </c>
      <c r="AV19" t="s">
        <v>139</v>
      </c>
      <c r="AW19" t="s">
        <v>140</v>
      </c>
      <c r="AX19" t="s">
        <v>141</v>
      </c>
      <c r="AY19" t="s">
        <v>142</v>
      </c>
      <c r="AZ19" t="s">
        <v>143</v>
      </c>
    </row>
    <row r="20" spans="1:52" x14ac:dyDescent="0.25">
      <c r="R20" s="1"/>
      <c r="S20" s="1"/>
      <c r="T20" s="1"/>
      <c r="U20" s="1"/>
      <c r="V20" s="1">
        <f>IF($R20="","",TRIM(MID($R20,FIND(" - ",$R20)+3,LEN($R20))))</f>
      </c>
      <c r="W20" s="1"/>
      <c r="AC20" s="8" t="str">
        <f>IF(AND(AA20&lt;&gt;"",AB20&lt;&gt;""),AA20-AB20,IF(AA20&lt;&gt;"",AA20,""))</f>
        <v/>
      </c>
      <c r="AE20" s="8" t="str">
        <f>IF(AND(Z20&lt;&gt;"",AD20&lt;&gt;""),Z20*AD20,"")</f>
        <v/>
      </c>
      <c r="AI20" s="2"/>
      <c r="AJ20" s="3" t="str">
        <f>IF(AI20=18%,ROUND((AC20+AM20)*0.18,2),"")</f>
        <v/>
      </c>
      <c r="AK20" s="3" t="str">
        <f>IF(AI20=25%,ROUND((AC20+AM20)*0.25,2),"")</f>
        <v/>
      </c>
      <c r="AL20" s="9">
        <f>IF(OR($AC20="",$AD20=""),"",IFERROR($AC20/$AD20,0))</f>
      </c>
      <c r="AM20">
        <f>IF($AC20="","",
IF($S20="","",
IF(ISNUMBER(SEARCH("exempt",LOWER($S20))),0,
$AC20*(VALUE(SUBSTITUTE($S20,"%",""))/100))))</f>
      </c>
      <c r="AS20">
        <f>IF($AC20="","",
SUM($AC20,$AM20,$AQ20,$AN20,$AP20,$AO20,$AR20))</f>
      </c>
      <c r="AV20" t="s">
        <v>144</v>
      </c>
      <c r="AW20" t="s">
        <v>145</v>
      </c>
      <c r="AX20" t="s">
        <v>146</v>
      </c>
      <c r="AY20" t="s">
        <v>147</v>
      </c>
      <c r="AZ20" t="s">
        <v>148</v>
      </c>
    </row>
    <row r="21" spans="1:52" x14ac:dyDescent="0.25">
      <c r="R21" s="1"/>
      <c r="S21" s="1"/>
      <c r="T21" s="1"/>
      <c r="U21" s="1"/>
      <c r="V21" s="1">
        <f>IF($R21="","",TRIM(MID($R21,FIND(" - ",$R21)+3,LEN($R21))))</f>
      </c>
      <c r="W21" s="1"/>
      <c r="AC21" s="8" t="str">
        <f>IF(AND(AA21&lt;&gt;"",AB21&lt;&gt;""),AA21-AB21,IF(AA21&lt;&gt;"",AA21,""))</f>
        <v/>
      </c>
      <c r="AE21" s="8" t="str">
        <f>IF(AND(Z21&lt;&gt;"",AD21&lt;&gt;""),Z21*AD21,"")</f>
        <v/>
      </c>
      <c r="AI21" s="2"/>
      <c r="AJ21" s="3" t="str">
        <f>IF(AI21=18%,ROUND((AC21+AM21)*0.18,2),"")</f>
        <v/>
      </c>
      <c r="AK21" s="3" t="str">
        <f>IF(AI21=25%,ROUND((AC21+AM21)*0.25,2),"")</f>
        <v/>
      </c>
      <c r="AL21" s="9">
        <f>IF(OR($AC21="",$AD21=""),"",IFERROR($AC21/$AD21,0))</f>
      </c>
      <c r="AM21">
        <f>IF($AC21="","",
IF($S21="","",
IF(ISNUMBER(SEARCH("exempt",LOWER($S21))),0,
$AC21*(VALUE(SUBSTITUTE($S21,"%",""))/100))))</f>
      </c>
      <c r="AS21">
        <f>IF($AC21="","",
SUM($AC21,$AM21,$AQ21,$AN21,$AP21,$AO21,$AR21))</f>
      </c>
      <c r="AV21" t="s">
        <v>149</v>
      </c>
      <c r="AW21" t="s">
        <v>150</v>
      </c>
      <c r="AX21" t="s">
        <v>151</v>
      </c>
      <c r="AY21" t="s">
        <v>152</v>
      </c>
      <c r="AZ21" t="s">
        <v>153</v>
      </c>
    </row>
    <row r="22" spans="1:52" x14ac:dyDescent="0.25">
      <c r="R22" s="1"/>
      <c r="S22" s="1"/>
      <c r="T22" s="1"/>
      <c r="U22" s="1"/>
      <c r="V22" s="1">
        <f>IF($R22="","",TRIM(MID($R22,FIND(" - ",$R22)+3,LEN($R22))))</f>
      </c>
      <c r="W22" s="1"/>
      <c r="AC22" s="8" t="str">
        <f>IF(AND(AA22&lt;&gt;"",AB22&lt;&gt;""),AA22-AB22,IF(AA22&lt;&gt;"",AA22,""))</f>
        <v/>
      </c>
      <c r="AE22" s="8" t="str">
        <f>IF(AND(Z22&lt;&gt;"",AD22&lt;&gt;""),Z22*AD22,"")</f>
        <v/>
      </c>
      <c r="AI22" s="2"/>
      <c r="AJ22" s="3" t="str">
        <f>IF(AI22=18%,ROUND((AC22+AM22)*0.18,2),"")</f>
        <v/>
      </c>
      <c r="AK22" s="3" t="str">
        <f>IF(AI22=25%,ROUND((AC22+AM22)*0.25,2),"")</f>
        <v/>
      </c>
      <c r="AL22" s="9">
        <f>IF(OR($AC22="",$AD22=""),"",IFERROR($AC22/$AD22,0))</f>
      </c>
      <c r="AM22">
        <f>IF($AC22="","",
IF($S22="","",
IF(ISNUMBER(SEARCH("exempt",LOWER($S22))),0,
$AC22*(VALUE(SUBSTITUTE($S22,"%",""))/100))))</f>
      </c>
      <c r="AS22">
        <f>IF($AC22="","",
SUM($AC22,$AM22,$AQ22,$AN22,$AP22,$AO22,$AR22))</f>
      </c>
      <c r="AV22" t="s">
        <v>154</v>
      </c>
      <c r="AW22" t="s">
        <v>155</v>
      </c>
      <c r="AX22" t="s">
        <v>156</v>
      </c>
      <c r="AY22" t="s">
        <v>157</v>
      </c>
      <c r="AZ22" t="s">
        <v>158</v>
      </c>
    </row>
    <row r="23" spans="1:52" x14ac:dyDescent="0.25">
      <c r="R23" s="1"/>
      <c r="S23" s="1"/>
      <c r="T23" s="1"/>
      <c r="U23" s="1"/>
      <c r="V23" s="1">
        <f>IF($R23="","",TRIM(MID($R23,FIND(" - ",$R23)+3,LEN($R23))))</f>
      </c>
      <c r="W23" s="1"/>
      <c r="AC23" s="8" t="str">
        <f>IF(AND(AA23&lt;&gt;"",AB23&lt;&gt;""),AA23-AB23,IF(AA23&lt;&gt;"",AA23,""))</f>
        <v/>
      </c>
      <c r="AE23" s="8" t="str">
        <f>IF(AND(Z23&lt;&gt;"",AD23&lt;&gt;""),Z23*AD23,"")</f>
        <v/>
      </c>
      <c r="AI23" s="2"/>
      <c r="AJ23" s="3" t="str">
        <f>IF(AI23=18%,ROUND((AC23+AM23)*0.18,2),"")</f>
        <v/>
      </c>
      <c r="AK23" s="3" t="str">
        <f>IF(AI23=25%,ROUND((AC23+AM23)*0.25,2),"")</f>
        <v/>
      </c>
      <c r="AL23" s="9">
        <f>IF(OR($AC23="",$AD23=""),"",IFERROR($AC23/$AD23,0))</f>
      </c>
      <c r="AM23">
        <f>IF($AC23="","",
IF($S23="","",
IF(ISNUMBER(SEARCH("exempt",LOWER($S23))),0,
$AC23*(VALUE(SUBSTITUTE($S23,"%",""))/100))))</f>
      </c>
      <c r="AS23">
        <f>IF($AC23="","",
SUM($AC23,$AM23,$AQ23,$AN23,$AP23,$AO23,$AR23))</f>
      </c>
      <c r="AV23" t="s">
        <v>159</v>
      </c>
      <c r="AW23" t="s">
        <v>160</v>
      </c>
      <c r="AX23" t="s">
        <v>161</v>
      </c>
      <c r="AY23" t="s">
        <v>162</v>
      </c>
      <c r="AZ23" t="s">
        <v>163</v>
      </c>
    </row>
    <row r="24" spans="1:52" x14ac:dyDescent="0.25">
      <c r="R24" s="1"/>
      <c r="S24" s="1"/>
      <c r="T24" s="1"/>
      <c r="U24" s="1"/>
      <c r="V24" s="1">
        <f>IF($R24="","",TRIM(MID($R24,FIND(" - ",$R24)+3,LEN($R24))))</f>
      </c>
      <c r="W24" s="1"/>
      <c r="AC24" s="8" t="str">
        <f>IF(AND(AA24&lt;&gt;"",AB24&lt;&gt;""),AA24-AB24,IF(AA24&lt;&gt;"",AA24,""))</f>
        <v/>
      </c>
      <c r="AE24" s="8" t="str">
        <f>IF(AND(Z24&lt;&gt;"",AD24&lt;&gt;""),Z24*AD24,"")</f>
        <v/>
      </c>
      <c r="AI24" s="2"/>
      <c r="AJ24" s="3" t="str">
        <f>IF(AI24=18%,ROUND((AC24+AM24)*0.18,2),"")</f>
        <v/>
      </c>
      <c r="AK24" s="3" t="str">
        <f>IF(AI24=25%,ROUND((AC24+AM24)*0.25,2),"")</f>
        <v/>
      </c>
      <c r="AL24" s="9">
        <f>IF(OR($AC24="",$AD24=""),"",IFERROR($AC24/$AD24,0))</f>
      </c>
      <c r="AM24">
        <f>IF($AC24="","",
IF($S24="","",
IF(ISNUMBER(SEARCH("exempt",LOWER($S24))),0,
$AC24*(VALUE(SUBSTITUTE($S24,"%",""))/100))))</f>
      </c>
      <c r="AS24">
        <f>IF($AC24="","",
SUM($AC24,$AM24,$AQ24,$AN24,$AP24,$AO24,$AR24))</f>
      </c>
      <c r="AV24" t="s">
        <v>164</v>
      </c>
      <c r="AW24" t="s">
        <v>165</v>
      </c>
      <c r="AX24" t="s">
        <v>166</v>
      </c>
      <c r="AY24" t="s">
        <v>167</v>
      </c>
      <c r="AZ24" t="s">
        <v>168</v>
      </c>
    </row>
    <row r="25" spans="1:52" x14ac:dyDescent="0.25">
      <c r="R25" s="1"/>
      <c r="S25" s="1"/>
      <c r="T25" s="1"/>
      <c r="U25" s="1"/>
      <c r="V25" s="1">
        <f>IF($R25="","",TRIM(MID($R25,FIND(" - ",$R25)+3,LEN($R25))))</f>
      </c>
      <c r="W25" s="1"/>
      <c r="AC25" s="8" t="str">
        <f>IF(AND(AA25&lt;&gt;"",AB25&lt;&gt;""),AA25-AB25,IF(AA25&lt;&gt;"",AA25,""))</f>
        <v/>
      </c>
      <c r="AE25" s="8" t="str">
        <f>IF(AND(Z25&lt;&gt;"",AD25&lt;&gt;""),Z25*AD25,"")</f>
        <v/>
      </c>
      <c r="AI25" s="2"/>
      <c r="AJ25" s="3" t="str">
        <f>IF(AI25=18%,ROUND((AC25+AM25)*0.18,2),"")</f>
        <v/>
      </c>
      <c r="AK25" s="3" t="str">
        <f>IF(AI25=25%,ROUND((AC25+AM25)*0.25,2),"")</f>
        <v/>
      </c>
      <c r="AL25" s="9">
        <f>IF(OR($AC25="",$AD25=""),"",IFERROR($AC25/$AD25,0))</f>
      </c>
      <c r="AM25">
        <f>IF($AC25="","",
IF($S25="","",
IF(ISNUMBER(SEARCH("exempt",LOWER($S25))),0,
$AC25*(VALUE(SUBSTITUTE($S25,"%",""))/100))))</f>
      </c>
      <c r="AS25">
        <f>IF($AC25="","",
SUM($AC25,$AM25,$AQ25,$AN25,$AP25,$AO25,$AR25))</f>
      </c>
      <c r="AV25" t="s">
        <v>169</v>
      </c>
      <c r="AW25" t="s">
        <v>170</v>
      </c>
      <c r="AX25" t="s">
        <v>171</v>
      </c>
      <c r="AY25" t="s">
        <v>172</v>
      </c>
      <c r="AZ25" t="s">
        <v>173</v>
      </c>
    </row>
    <row r="26" spans="1:52" x14ac:dyDescent="0.25">
      <c r="R26" s="1"/>
      <c r="S26" s="1"/>
      <c r="T26" s="1"/>
      <c r="U26" s="1"/>
      <c r="V26" s="1">
        <f>IF($R26="","",TRIM(MID($R26,FIND(" - ",$R26)+3,LEN($R26))))</f>
      </c>
      <c r="W26" s="1"/>
      <c r="AC26" s="8" t="str">
        <f>IF(AND(AA26&lt;&gt;"",AB26&lt;&gt;""),AA26-AB26,IF(AA26&lt;&gt;"",AA26,""))</f>
        <v/>
      </c>
      <c r="AE26" s="8" t="str">
        <f>IF(AND(Z26&lt;&gt;"",AD26&lt;&gt;""),Z26*AD26,"")</f>
        <v/>
      </c>
      <c r="AI26" s="2"/>
      <c r="AJ26" s="3" t="str">
        <f>IF(AI26=18%,ROUND((AC26+AM26)*0.18,2),"")</f>
        <v/>
      </c>
      <c r="AK26" s="3" t="str">
        <f>IF(AI26=25%,ROUND((AC26+AM26)*0.25,2),"")</f>
        <v/>
      </c>
      <c r="AL26" s="9">
        <f>IF(OR($AC26="",$AD26=""),"",IFERROR($AC26/$AD26,0))</f>
      </c>
      <c r="AM26">
        <f>IF($AC26="","",
IF($S26="","",
IF(ISNUMBER(SEARCH("exempt",LOWER($S26))),0,
$AC26*(VALUE(SUBSTITUTE($S26,"%",""))/100))))</f>
      </c>
      <c r="AS26">
        <f>IF($AC26="","",
SUM($AC26,$AM26,$AQ26,$AN26,$AP26,$AO26,$AR26))</f>
      </c>
      <c r="AV26" t="s">
        <v>174</v>
      </c>
      <c r="AW26" t="s">
        <v>175</v>
      </c>
      <c r="AX26" t="s">
        <v>176</v>
      </c>
      <c r="AY26" t="s">
        <v>177</v>
      </c>
      <c r="AZ26" t="s">
        <v>178</v>
      </c>
    </row>
    <row r="27" spans="1:52" x14ac:dyDescent="0.25">
      <c r="R27" s="1"/>
      <c r="S27" s="1"/>
      <c r="T27" s="1"/>
      <c r="U27" s="1"/>
      <c r="V27" s="1">
        <f>IF($R27="","",TRIM(MID($R27,FIND(" - ",$R27)+3,LEN($R27))))</f>
      </c>
      <c r="W27" s="1"/>
      <c r="AC27" s="8" t="str">
        <f>IF(AND(AA27&lt;&gt;"",AB27&lt;&gt;""),AA27-AB27,IF(AA27&lt;&gt;"",AA27,""))</f>
        <v/>
      </c>
      <c r="AE27" s="8" t="str">
        <f>IF(AND(Z27&lt;&gt;"",AD27&lt;&gt;""),Z27*AD27,"")</f>
        <v/>
      </c>
      <c r="AI27" s="2"/>
      <c r="AJ27" s="3" t="str">
        <f>IF(AI27=18%,ROUND((AC27+AM27)*0.18,2),"")</f>
        <v/>
      </c>
      <c r="AK27" s="3" t="str">
        <f>IF(AI27=25%,ROUND((AC27+AM27)*0.25,2),"")</f>
        <v/>
      </c>
      <c r="AL27" s="9">
        <f>IF(OR($AC27="",$AD27=""),"",IFERROR($AC27/$AD27,0))</f>
      </c>
      <c r="AM27">
        <f>IF($AC27="","",
IF($S27="","",
IF(ISNUMBER(SEARCH("exempt",LOWER($S27))),0,
$AC27*(VALUE(SUBSTITUTE($S27,"%",""))/100))))</f>
      </c>
      <c r="AS27">
        <f>IF($AC27="","",
SUM($AC27,$AM27,$AQ27,$AN27,$AP27,$AO27,$AR27))</f>
      </c>
      <c r="AV27" t="s">
        <v>179</v>
      </c>
      <c r="AW27" t="s">
        <v>180</v>
      </c>
      <c r="AX27" t="s">
        <v>181</v>
      </c>
      <c r="AZ27" t="s">
        <v>182</v>
      </c>
    </row>
    <row r="28" spans="1:52" x14ac:dyDescent="0.25">
      <c r="R28" s="1"/>
      <c r="S28" s="1"/>
      <c r="T28" s="1"/>
      <c r="U28" s="1"/>
      <c r="V28" s="1">
        <f>IF($R28="","",TRIM(MID($R28,FIND(" - ",$R28)+3,LEN($R28))))</f>
      </c>
      <c r="W28" s="1"/>
      <c r="AC28" s="8" t="str">
        <f>IF(AND(AA28&lt;&gt;"",AB28&lt;&gt;""),AA28-AB28,IF(AA28&lt;&gt;"",AA28,""))</f>
        <v/>
      </c>
      <c r="AE28" s="8" t="str">
        <f>IF(AND(Z28&lt;&gt;"",AD28&lt;&gt;""),Z28*AD28,"")</f>
        <v/>
      </c>
      <c r="AI28" s="2"/>
      <c r="AJ28" s="3" t="str">
        <f>IF(AI28=18%,ROUND((AC28+AM28)*0.18,2),"")</f>
        <v/>
      </c>
      <c r="AK28" s="3" t="str">
        <f>IF(AI28=25%,ROUND((AC28+AM28)*0.25,2),"")</f>
        <v/>
      </c>
      <c r="AL28" s="9">
        <f>IF(OR($AC28="",$AD28=""),"",IFERROR($AC28/$AD28,0))</f>
      </c>
      <c r="AM28">
        <f>IF($AC28="","",
IF($S28="","",
IF(ISNUMBER(SEARCH("exempt",LOWER($S28))),0,
$AC28*(VALUE(SUBSTITUTE($S28,"%",""))/100))))</f>
      </c>
      <c r="AS28">
        <f>IF($AC28="","",
SUM($AC28,$AM28,$AQ28,$AN28,$AP28,$AO28,$AR28))</f>
      </c>
      <c r="AW28" t="s">
        <v>183</v>
      </c>
      <c r="AX28" t="s">
        <v>184</v>
      </c>
      <c r="AZ28" t="s">
        <v>185</v>
      </c>
    </row>
    <row r="29" spans="1:52" x14ac:dyDescent="0.25">
      <c r="R29" s="1"/>
      <c r="S29" s="1"/>
      <c r="T29" s="1"/>
      <c r="U29" s="1"/>
      <c r="V29" s="1">
        <f>IF($R29="","",TRIM(MID($R29,FIND(" - ",$R29)+3,LEN($R29))))</f>
      </c>
      <c r="W29" s="1"/>
      <c r="AC29" s="8" t="str">
        <f>IF(AND(AA29&lt;&gt;"",AB29&lt;&gt;""),AA29-AB29,IF(AA29&lt;&gt;"",AA29,""))</f>
        <v/>
      </c>
      <c r="AE29" s="8" t="str">
        <f>IF(AND(Z29&lt;&gt;"",AD29&lt;&gt;""),Z29*AD29,"")</f>
        <v/>
      </c>
      <c r="AI29" s="2"/>
      <c r="AJ29" s="3" t="str">
        <f>IF(AI29=18%,ROUND((AC29+AM29)*0.18,2),"")</f>
        <v/>
      </c>
      <c r="AK29" s="3" t="str">
        <f>IF(AI29=25%,ROUND((AC29+AM29)*0.25,2),"")</f>
        <v/>
      </c>
      <c r="AL29" s="9">
        <f>IF(OR($AC29="",$AD29=""),"",IFERROR($AC29/$AD29,0))</f>
      </c>
      <c r="AM29">
        <f>IF($AC29="","",
IF($S29="","",
IF(ISNUMBER(SEARCH("exempt",LOWER($S29))),0,
$AC29*(VALUE(SUBSTITUTE($S29,"%",""))/100))))</f>
      </c>
      <c r="AS29">
        <f>IF($AC29="","",
SUM($AC29,$AM29,$AQ29,$AN29,$AP29,$AO29,$AR29))</f>
      </c>
      <c r="AW29" t="s">
        <v>186</v>
      </c>
      <c r="AX29" t="s">
        <v>187</v>
      </c>
      <c r="AZ29" t="s">
        <v>188</v>
      </c>
    </row>
    <row r="30" spans="1:52" x14ac:dyDescent="0.25">
      <c r="R30" s="1"/>
      <c r="S30" s="1"/>
      <c r="T30" s="1"/>
      <c r="U30" s="1"/>
      <c r="V30" s="1">
        <f>IF($R30="","",TRIM(MID($R30,FIND(" - ",$R30)+3,LEN($R30))))</f>
      </c>
      <c r="W30" s="1"/>
      <c r="AC30" s="8" t="str">
        <f>IF(AND(AA30&lt;&gt;"",AB30&lt;&gt;""),AA30-AB30,IF(AA30&lt;&gt;"",AA30,""))</f>
        <v/>
      </c>
      <c r="AE30" s="8" t="str">
        <f>IF(AND(Z30&lt;&gt;"",AD30&lt;&gt;""),Z30*AD30,"")</f>
        <v/>
      </c>
      <c r="AI30" s="2"/>
      <c r="AJ30" s="3" t="str">
        <f>IF(AI30=18%,ROUND((AC30+AM30)*0.18,2),"")</f>
        <v/>
      </c>
      <c r="AK30" s="3" t="str">
        <f>IF(AI30=25%,ROUND((AC30+AM30)*0.25,2),"")</f>
        <v/>
      </c>
      <c r="AL30" s="9">
        <f>IF(OR($AC30="",$AD30=""),"",IFERROR($AC30/$AD30,0))</f>
      </c>
      <c r="AM30">
        <f>IF($AC30="","",
IF($S30="","",
IF(ISNUMBER(SEARCH("exempt",LOWER($S30))),0,
$AC30*(VALUE(SUBSTITUTE($S30,"%",""))/100))))</f>
      </c>
      <c r="AS30">
        <f>IF($AC30="","",
SUM($AC30,$AM30,$AQ30,$AN30,$AP30,$AO30,$AR30))</f>
      </c>
      <c r="AW30" t="s">
        <v>189</v>
      </c>
      <c r="AX30" t="s">
        <v>190</v>
      </c>
      <c r="AZ30" t="s">
        <v>191</v>
      </c>
    </row>
    <row r="31" spans="1:52" x14ac:dyDescent="0.25">
      <c r="R31" s="1"/>
      <c r="S31" s="1"/>
      <c r="T31" s="1"/>
      <c r="U31" s="1"/>
      <c r="V31" s="1">
        <f>IF($R31="","",TRIM(MID($R31,FIND(" - ",$R31)+3,LEN($R31))))</f>
      </c>
      <c r="W31" s="1"/>
      <c r="AC31" s="8" t="str">
        <f>IF(AND(AA31&lt;&gt;"",AB31&lt;&gt;""),AA31-AB31,IF(AA31&lt;&gt;"",AA31,""))</f>
        <v/>
      </c>
      <c r="AE31" s="8" t="str">
        <f>IF(AND(Z31&lt;&gt;"",AD31&lt;&gt;""),Z31*AD31,"")</f>
        <v/>
      </c>
      <c r="AI31" s="2"/>
      <c r="AJ31" s="3" t="str">
        <f>IF(AI31=18%,ROUND((AC31+AM31)*0.18,2),"")</f>
        <v/>
      </c>
      <c r="AK31" s="3" t="str">
        <f>IF(AI31=25%,ROUND((AC31+AM31)*0.25,2),"")</f>
        <v/>
      </c>
      <c r="AL31" s="9">
        <f>IF(OR($AC31="",$AD31=""),"",IFERROR($AC31/$AD31,0))</f>
      </c>
      <c r="AM31">
        <f>IF($AC31="","",
IF($S31="","",
IF(ISNUMBER(SEARCH("exempt",LOWER($S31))),0,
$AC31*(VALUE(SUBSTITUTE($S31,"%",""))/100))))</f>
      </c>
      <c r="AS31">
        <f>IF($AC31="","",
SUM($AC31,$AM31,$AQ31,$AN31,$AP31,$AO31,$AR31))</f>
      </c>
      <c r="AW31" t="s">
        <v>192</v>
      </c>
      <c r="AX31" t="s">
        <v>193</v>
      </c>
      <c r="AZ31" t="s">
        <v>194</v>
      </c>
    </row>
    <row r="32" spans="1:52" x14ac:dyDescent="0.25">
      <c r="R32" s="1"/>
      <c r="S32" s="1"/>
      <c r="T32" s="1"/>
      <c r="U32" s="1"/>
      <c r="V32" s="1">
        <f>IF($R32="","",TRIM(MID($R32,FIND(" - ",$R32)+3,LEN($R32))))</f>
      </c>
      <c r="W32" s="1"/>
      <c r="AC32" s="8" t="str">
        <f>IF(AND(AA32&lt;&gt;"",AB32&lt;&gt;""),AA32-AB32,IF(AA32&lt;&gt;"",AA32,""))</f>
        <v/>
      </c>
      <c r="AE32" s="8" t="str">
        <f>IF(AND(Z32&lt;&gt;"",AD32&lt;&gt;""),Z32*AD32,"")</f>
        <v/>
      </c>
      <c r="AI32" s="2"/>
      <c r="AJ32" s="3" t="str">
        <f>IF(AI32=18%,ROUND((AC32+AM32)*0.18,2),"")</f>
        <v/>
      </c>
      <c r="AK32" s="3" t="str">
        <f>IF(AI32=25%,ROUND((AC32+AM32)*0.25,2),"")</f>
        <v/>
      </c>
      <c r="AL32" s="9">
        <f>IF(OR($AC32="",$AD32=""),"",IFERROR($AC32/$AD32,0))</f>
      </c>
      <c r="AM32">
        <f>IF($AC32="","",
IF($S32="","",
IF(ISNUMBER(SEARCH("exempt",LOWER($S32))),0,
$AC32*(VALUE(SUBSTITUTE($S32,"%",""))/100))))</f>
      </c>
      <c r="AS32">
        <f>IF($AC32="","",
SUM($AC32,$AM32,$AQ32,$AN32,$AP32,$AO32,$AR32))</f>
      </c>
      <c r="AW32" t="s">
        <v>195</v>
      </c>
      <c r="AX32" t="s">
        <v>196</v>
      </c>
      <c r="AZ32" t="s">
        <v>197</v>
      </c>
    </row>
    <row r="33" spans="1:52" x14ac:dyDescent="0.25">
      <c r="R33" s="1"/>
      <c r="S33" s="1"/>
      <c r="T33" s="1"/>
      <c r="U33" s="1"/>
      <c r="V33" s="1">
        <f>IF($R33="","",TRIM(MID($R33,FIND(" - ",$R33)+3,LEN($R33))))</f>
      </c>
      <c r="W33" s="1"/>
      <c r="AC33" s="8" t="str">
        <f>IF(AND(AA33&lt;&gt;"",AB33&lt;&gt;""),AA33-AB33,IF(AA33&lt;&gt;"",AA33,""))</f>
        <v/>
      </c>
      <c r="AE33" s="8" t="str">
        <f>IF(AND(Z33&lt;&gt;"",AD33&lt;&gt;""),Z33*AD33,"")</f>
        <v/>
      </c>
      <c r="AI33" s="2"/>
      <c r="AJ33" s="3" t="str">
        <f>IF(AI33=18%,ROUND((AC33+AM33)*0.18,2),"")</f>
        <v/>
      </c>
      <c r="AK33" s="3" t="str">
        <f>IF(AI33=25%,ROUND((AC33+AM33)*0.25,2),"")</f>
        <v/>
      </c>
      <c r="AL33" s="9">
        <f>IF(OR($AC33="",$AD33=""),"",IFERROR($AC33/$AD33,0))</f>
      </c>
      <c r="AM33">
        <f>IF($AC33="","",
IF($S33="","",
IF(ISNUMBER(SEARCH("exempt",LOWER($S33))),0,
$AC33*(VALUE(SUBSTITUTE($S33,"%",""))/100))))</f>
      </c>
      <c r="AS33">
        <f>IF($AC33="","",
SUM($AC33,$AM33,$AQ33,$AN33,$AP33,$AO33,$AR33))</f>
      </c>
      <c r="AW33" t="s">
        <v>198</v>
      </c>
      <c r="AX33" t="s">
        <v>199</v>
      </c>
      <c r="AZ33" t="s">
        <v>200</v>
      </c>
    </row>
    <row r="34" spans="1:52" x14ac:dyDescent="0.25">
      <c r="R34" s="1"/>
      <c r="S34" s="1"/>
      <c r="T34" s="1"/>
      <c r="U34" s="1"/>
      <c r="V34" s="1">
        <f>IF($R34="","",TRIM(MID($R34,FIND(" - ",$R34)+3,LEN($R34))))</f>
      </c>
      <c r="W34" s="1"/>
      <c r="AC34" s="8" t="str">
        <f>IF(AND(AA34&lt;&gt;"",AB34&lt;&gt;""),AA34-AB34,IF(AA34&lt;&gt;"",AA34,""))</f>
        <v/>
      </c>
      <c r="AE34" s="8" t="str">
        <f>IF(AND(Z34&lt;&gt;"",AD34&lt;&gt;""),Z34*AD34,"")</f>
        <v/>
      </c>
      <c r="AI34" s="2"/>
      <c r="AJ34" s="3" t="str">
        <f>IF(AI34=18%,ROUND((AC34+AM34)*0.18,2),"")</f>
        <v/>
      </c>
      <c r="AK34" s="3" t="str">
        <f>IF(AI34=25%,ROUND((AC34+AM34)*0.25,2),"")</f>
        <v/>
      </c>
      <c r="AL34" s="9">
        <f>IF(OR($AC34="",$AD34=""),"",IFERROR($AC34/$AD34,0))</f>
      </c>
      <c r="AM34">
        <f>IF($AC34="","",
IF($S34="","",
IF(ISNUMBER(SEARCH("exempt",LOWER($S34))),0,
$AC34*(VALUE(SUBSTITUTE($S34,"%",""))/100))))</f>
      </c>
      <c r="AS34">
        <f>IF($AC34="","",
SUM($AC34,$AM34,$AQ34,$AN34,$AP34,$AO34,$AR34))</f>
      </c>
      <c r="AX34" t="s">
        <v>201</v>
      </c>
      <c r="AZ34" t="s">
        <v>202</v>
      </c>
    </row>
    <row r="35" spans="1:52" x14ac:dyDescent="0.25">
      <c r="R35" s="1"/>
      <c r="S35" s="1"/>
      <c r="T35" s="1"/>
      <c r="U35" s="1"/>
      <c r="V35" s="1">
        <f>IF($R35="","",TRIM(MID($R35,FIND(" - ",$R35)+3,LEN($R35))))</f>
      </c>
      <c r="W35" s="1"/>
      <c r="AC35" s="8" t="str">
        <f>IF(AND(AA35&lt;&gt;"",AB35&lt;&gt;""),AA35-AB35,IF(AA35&lt;&gt;"",AA35,""))</f>
        <v/>
      </c>
      <c r="AE35" s="8" t="str">
        <f>IF(AND(Z35&lt;&gt;"",AD35&lt;&gt;""),Z35*AD35,"")</f>
        <v/>
      </c>
      <c r="AI35" s="2"/>
      <c r="AJ35" s="3" t="str">
        <f>IF(AI35=18%,ROUND((AC35+AM35)*0.18,2),"")</f>
        <v/>
      </c>
      <c r="AK35" s="3" t="str">
        <f>IF(AI35=25%,ROUND((AC35+AM35)*0.25,2),"")</f>
        <v/>
      </c>
      <c r="AL35" s="9">
        <f>IF(OR($AC35="",$AD35=""),"",IFERROR($AC35/$AD35,0))</f>
      </c>
      <c r="AM35">
        <f>IF($AC35="","",
IF($S35="","",
IF(ISNUMBER(SEARCH("exempt",LOWER($S35))),0,
$AC35*(VALUE(SUBSTITUTE($S35,"%",""))/100))))</f>
      </c>
      <c r="AS35">
        <f>IF($AC35="","",
SUM($AC35,$AM35,$AQ35,$AN35,$AP35,$AO35,$AR35))</f>
      </c>
      <c r="AX35" t="s">
        <v>203</v>
      </c>
      <c r="AZ35" t="s">
        <v>204</v>
      </c>
    </row>
    <row r="36" spans="1:52" x14ac:dyDescent="0.25">
      <c r="R36" s="1"/>
      <c r="S36" s="1"/>
      <c r="T36" s="1"/>
      <c r="U36" s="1"/>
      <c r="V36" s="1">
        <f>IF($R36="","",TRIM(MID($R36,FIND(" - ",$R36)+3,LEN($R36))))</f>
      </c>
      <c r="W36" s="1"/>
      <c r="AC36" s="8" t="str">
        <f>IF(AND(AA36&lt;&gt;"",AB36&lt;&gt;""),AA36-AB36,IF(AA36&lt;&gt;"",AA36,""))</f>
        <v/>
      </c>
      <c r="AE36" s="8" t="str">
        <f>IF(AND(Z36&lt;&gt;"",AD36&lt;&gt;""),Z36*AD36,"")</f>
        <v/>
      </c>
      <c r="AI36" s="2"/>
      <c r="AJ36" s="3" t="str">
        <f>IF(AI36=18%,ROUND((AC36+AM36)*0.18,2),"")</f>
        <v/>
      </c>
      <c r="AK36" s="3" t="str">
        <f>IF(AI36=25%,ROUND((AC36+AM36)*0.25,2),"")</f>
        <v/>
      </c>
      <c r="AL36" s="9">
        <f>IF(OR($AC36="",$AD36=""),"",IFERROR($AC36/$AD36,0))</f>
      </c>
      <c r="AM36">
        <f>IF($AC36="","",
IF($S36="","",
IF(ISNUMBER(SEARCH("exempt",LOWER($S36))),0,
$AC36*(VALUE(SUBSTITUTE($S36,"%",""))/100))))</f>
      </c>
      <c r="AS36">
        <f>IF($AC36="","",
SUM($AC36,$AM36,$AQ36,$AN36,$AP36,$AO36,$AR36))</f>
      </c>
      <c r="AX36" t="s">
        <v>205</v>
      </c>
      <c r="AZ36" t="s">
        <v>206</v>
      </c>
    </row>
    <row r="37" spans="1:52" x14ac:dyDescent="0.25">
      <c r="R37" s="1"/>
      <c r="S37" s="1"/>
      <c r="T37" s="1"/>
      <c r="U37" s="1"/>
      <c r="V37" s="1">
        <f>IF($R37="","",TRIM(MID($R37,FIND(" - ",$R37)+3,LEN($R37))))</f>
      </c>
      <c r="W37" s="1"/>
      <c r="AC37" s="8" t="str">
        <f>IF(AND(AA37&lt;&gt;"",AB37&lt;&gt;""),AA37-AB37,IF(AA37&lt;&gt;"",AA37,""))</f>
        <v/>
      </c>
      <c r="AE37" s="8" t="str">
        <f>IF(AND(Z37&lt;&gt;"",AD37&lt;&gt;""),Z37*AD37,"")</f>
        <v/>
      </c>
      <c r="AI37" s="2"/>
      <c r="AJ37" s="3" t="str">
        <f>IF(AI37=18%,ROUND((AC37+AM37)*0.18,2),"")</f>
        <v/>
      </c>
      <c r="AK37" s="3" t="str">
        <f>IF(AI37=25%,ROUND((AC37+AM37)*0.25,2),"")</f>
        <v/>
      </c>
      <c r="AL37" s="9">
        <f>IF(OR($AC37="",$AD37=""),"",IFERROR($AC37/$AD37,0))</f>
      </c>
      <c r="AM37">
        <f>IF($AC37="","",
IF($S37="","",
IF(ISNUMBER(SEARCH("exempt",LOWER($S37))),0,
$AC37*(VALUE(SUBSTITUTE($S37,"%",""))/100))))</f>
      </c>
      <c r="AS37">
        <f>IF($AC37="","",
SUM($AC37,$AM37,$AQ37,$AN37,$AP37,$AO37,$AR37))</f>
      </c>
      <c r="AX37" t="s">
        <v>207</v>
      </c>
      <c r="AZ37" t="s">
        <v>208</v>
      </c>
    </row>
    <row r="38" spans="1:52" x14ac:dyDescent="0.25">
      <c r="R38" s="1"/>
      <c r="S38" s="1"/>
      <c r="T38" s="1"/>
      <c r="U38" s="1"/>
      <c r="V38" s="1">
        <f>IF($R38="","",TRIM(MID($R38,FIND(" - ",$R38)+3,LEN($R38))))</f>
      </c>
      <c r="W38" s="1"/>
      <c r="AC38" s="8" t="str">
        <f>IF(AND(AA38&lt;&gt;"",AB38&lt;&gt;""),AA38-AB38,IF(AA38&lt;&gt;"",AA38,""))</f>
        <v/>
      </c>
      <c r="AE38" s="8" t="str">
        <f>IF(AND(Z38&lt;&gt;"",AD38&lt;&gt;""),Z38*AD38,"")</f>
        <v/>
      </c>
      <c r="AI38" s="2"/>
      <c r="AJ38" s="3" t="str">
        <f>IF(AI38=18%,ROUND((AC38+AM38)*0.18,2),"")</f>
        <v/>
      </c>
      <c r="AK38" s="3" t="str">
        <f>IF(AI38=25%,ROUND((AC38+AM38)*0.25,2),"")</f>
        <v/>
      </c>
      <c r="AL38" s="9">
        <f>IF(OR($AC38="",$AD38=""),"",IFERROR($AC38/$AD38,0))</f>
      </c>
      <c r="AM38">
        <f>IF($AC38="","",
IF($S38="","",
IF(ISNUMBER(SEARCH("exempt",LOWER($S38))),0,
$AC38*(VALUE(SUBSTITUTE($S38,"%",""))/100))))</f>
      </c>
      <c r="AS38">
        <f>IF($AC38="","",
SUM($AC38,$AM38,$AQ38,$AN38,$AP38,$AO38,$AR38))</f>
      </c>
      <c r="AX38" t="s">
        <v>209</v>
      </c>
      <c r="AZ38" t="s">
        <v>210</v>
      </c>
    </row>
    <row r="39" spans="1:52" x14ac:dyDescent="0.25">
      <c r="R39" s="1"/>
      <c r="S39" s="1"/>
      <c r="T39" s="1"/>
      <c r="U39" s="1"/>
      <c r="V39" s="1">
        <f>IF($R39="","",TRIM(MID($R39,FIND(" - ",$R39)+3,LEN($R39))))</f>
      </c>
      <c r="W39" s="1"/>
      <c r="AC39" s="8" t="str">
        <f>IF(AND(AA39&lt;&gt;"",AB39&lt;&gt;""),AA39-AB39,IF(AA39&lt;&gt;"",AA39,""))</f>
        <v/>
      </c>
      <c r="AE39" s="8" t="str">
        <f>IF(AND(Z39&lt;&gt;"",AD39&lt;&gt;""),Z39*AD39,"")</f>
        <v/>
      </c>
      <c r="AI39" s="2"/>
      <c r="AJ39" s="3" t="str">
        <f>IF(AI39=18%,ROUND((AC39+AM39)*0.18,2),"")</f>
        <v/>
      </c>
      <c r="AK39" s="3" t="str">
        <f>IF(AI39=25%,ROUND((AC39+AM39)*0.25,2),"")</f>
        <v/>
      </c>
      <c r="AL39" s="9">
        <f>IF(OR($AC39="",$AD39=""),"",IFERROR($AC39/$AD39,0))</f>
      </c>
      <c r="AM39">
        <f>IF($AC39="","",
IF($S39="","",
IF(ISNUMBER(SEARCH("exempt",LOWER($S39))),0,
$AC39*(VALUE(SUBSTITUTE($S39,"%",""))/100))))</f>
      </c>
      <c r="AS39">
        <f>IF($AC39="","",
SUM($AC39,$AM39,$AQ39,$AN39,$AP39,$AO39,$AR39))</f>
      </c>
      <c r="AX39" t="s">
        <v>211</v>
      </c>
      <c r="AZ39" t="s">
        <v>212</v>
      </c>
    </row>
    <row r="40" spans="1:52" x14ac:dyDescent="0.25">
      <c r="R40" s="1"/>
      <c r="S40" s="1"/>
      <c r="T40" s="1"/>
      <c r="U40" s="1"/>
      <c r="V40" s="1">
        <f>IF($R40="","",TRIM(MID($R40,FIND(" - ",$R40)+3,LEN($R40))))</f>
      </c>
      <c r="W40" s="1"/>
      <c r="AC40" s="8" t="str">
        <f>IF(AND(AA40&lt;&gt;"",AB40&lt;&gt;""),AA40-AB40,IF(AA40&lt;&gt;"",AA40,""))</f>
        <v/>
      </c>
      <c r="AE40" s="8" t="str">
        <f>IF(AND(Z40&lt;&gt;"",AD40&lt;&gt;""),Z40*AD40,"")</f>
        <v/>
      </c>
      <c r="AI40" s="2"/>
      <c r="AJ40" s="3" t="str">
        <f>IF(AI40=18%,ROUND((AC40+AM40)*0.18,2),"")</f>
        <v/>
      </c>
      <c r="AK40" s="3" t="str">
        <f>IF(AI40=25%,ROUND((AC40+AM40)*0.25,2),"")</f>
        <v/>
      </c>
      <c r="AL40" s="9">
        <f>IF(OR($AC40="",$AD40=""),"",IFERROR($AC40/$AD40,0))</f>
      </c>
      <c r="AM40">
        <f>IF($AC40="","",
IF($S40="","",
IF(ISNUMBER(SEARCH("exempt",LOWER($S40))),0,
$AC40*(VALUE(SUBSTITUTE($S40,"%",""))/100))))</f>
      </c>
      <c r="AS40">
        <f>IF($AC40="","",
SUM($AC40,$AM40,$AQ40,$AN40,$AP40,$AO40,$AR40))</f>
      </c>
      <c r="AX40" t="s">
        <v>213</v>
      </c>
      <c r="AZ40" t="s">
        <v>214</v>
      </c>
    </row>
    <row r="41" spans="1:52" x14ac:dyDescent="0.25">
      <c r="R41" s="1"/>
      <c r="S41" s="1"/>
      <c r="T41" s="1"/>
      <c r="U41" s="1"/>
      <c r="V41" s="1">
        <f>IF($R41="","",TRIM(MID($R41,FIND(" - ",$R41)+3,LEN($R41))))</f>
      </c>
      <c r="W41" s="1"/>
      <c r="AC41" s="8" t="str">
        <f>IF(AND(AA41&lt;&gt;"",AB41&lt;&gt;""),AA41-AB41,IF(AA41&lt;&gt;"",AA41,""))</f>
        <v/>
      </c>
      <c r="AE41" s="8" t="str">
        <f>IF(AND(Z41&lt;&gt;"",AD41&lt;&gt;""),Z41*AD41,"")</f>
        <v/>
      </c>
      <c r="AI41" s="2"/>
      <c r="AJ41" s="3" t="str">
        <f>IF(AI41=18%,ROUND((AC41+AM41)*0.18,2),"")</f>
        <v/>
      </c>
      <c r="AK41" s="3" t="str">
        <f>IF(AI41=25%,ROUND((AC41+AM41)*0.25,2),"")</f>
        <v/>
      </c>
      <c r="AL41" s="9">
        <f>IF(OR($AC41="",$AD41=""),"",IFERROR($AC41/$AD41,0))</f>
      </c>
      <c r="AM41">
        <f>IF($AC41="","",
IF($S41="","",
IF(ISNUMBER(SEARCH("exempt",LOWER($S41))),0,
$AC41*(VALUE(SUBSTITUTE($S41,"%",""))/100))))</f>
      </c>
      <c r="AS41">
        <f>IF($AC41="","",
SUM($AC41,$AM41,$AQ41,$AN41,$AP41,$AO41,$AR41))</f>
      </c>
      <c r="AX41" t="s">
        <v>215</v>
      </c>
      <c r="AZ41" t="s">
        <v>216</v>
      </c>
    </row>
    <row r="42" spans="1:52" x14ac:dyDescent="0.25">
      <c r="R42" s="1"/>
      <c r="S42" s="1"/>
      <c r="T42" s="1"/>
      <c r="U42" s="1"/>
      <c r="V42" s="1">
        <f>IF($R42="","",TRIM(MID($R42,FIND(" - ",$R42)+3,LEN($R42))))</f>
      </c>
      <c r="W42" s="1"/>
      <c r="AC42" s="8" t="str">
        <f>IF(AND(AA42&lt;&gt;"",AB42&lt;&gt;""),AA42-AB42,IF(AA42&lt;&gt;"",AA42,""))</f>
        <v/>
      </c>
      <c r="AE42" s="8" t="str">
        <f>IF(AND(Z42&lt;&gt;"",AD42&lt;&gt;""),Z42*AD42,"")</f>
        <v/>
      </c>
      <c r="AI42" s="2"/>
      <c r="AJ42" s="3" t="str">
        <f>IF(AI42=18%,ROUND((AC42+AM42)*0.18,2),"")</f>
        <v/>
      </c>
      <c r="AK42" s="3" t="str">
        <f>IF(AI42=25%,ROUND((AC42+AM42)*0.25,2),"")</f>
        <v/>
      </c>
      <c r="AL42" s="9">
        <f>IF(OR($AC42="",$AD42=""),"",IFERROR($AC42/$AD42,0))</f>
      </c>
      <c r="AM42">
        <f>IF($AC42="","",
IF($S42="","",
IF(ISNUMBER(SEARCH("exempt",LOWER($S42))),0,
$AC42*(VALUE(SUBSTITUTE($S42,"%",""))/100))))</f>
      </c>
      <c r="AS42">
        <f>IF($AC42="","",
SUM($AC42,$AM42,$AQ42,$AN42,$AP42,$AO42,$AR42))</f>
      </c>
      <c r="AX42" t="s">
        <v>217</v>
      </c>
      <c r="AZ42" t="s">
        <v>218</v>
      </c>
    </row>
    <row r="43" spans="1:52" x14ac:dyDescent="0.25">
      <c r="R43" s="1"/>
      <c r="S43" s="1"/>
      <c r="T43" s="1"/>
      <c r="U43" s="1"/>
      <c r="V43" s="1">
        <f>IF($R43="","",TRIM(MID($R43,FIND(" - ",$R43)+3,LEN($R43))))</f>
      </c>
      <c r="W43" s="1"/>
      <c r="AC43" s="8" t="str">
        <f>IF(AND(AA43&lt;&gt;"",AB43&lt;&gt;""),AA43-AB43,IF(AA43&lt;&gt;"",AA43,""))</f>
        <v/>
      </c>
      <c r="AE43" s="8" t="str">
        <f>IF(AND(Z43&lt;&gt;"",AD43&lt;&gt;""),Z43*AD43,"")</f>
        <v/>
      </c>
      <c r="AI43" s="2"/>
      <c r="AJ43" s="3" t="str">
        <f>IF(AI43=18%,ROUND((AC43+AM43)*0.18,2),"")</f>
        <v/>
      </c>
      <c r="AK43" s="3" t="str">
        <f>IF(AI43=25%,ROUND((AC43+AM43)*0.25,2),"")</f>
        <v/>
      </c>
      <c r="AL43" s="9">
        <f>IF(OR($AC43="",$AD43=""),"",IFERROR($AC43/$AD43,0))</f>
      </c>
      <c r="AM43">
        <f>IF($AC43="","",
IF($S43="","",
IF(ISNUMBER(SEARCH("exempt",LOWER($S43))),0,
$AC43*(VALUE(SUBSTITUTE($S43,"%",""))/100))))</f>
      </c>
      <c r="AS43">
        <f>IF($AC43="","",
SUM($AC43,$AM43,$AQ43,$AN43,$AP43,$AO43,$AR43))</f>
      </c>
      <c r="AX43" t="s">
        <v>219</v>
      </c>
      <c r="AZ43" t="s">
        <v>220</v>
      </c>
    </row>
    <row r="44" spans="1:52" x14ac:dyDescent="0.25">
      <c r="R44" s="1"/>
      <c r="S44" s="1"/>
      <c r="T44" s="1"/>
      <c r="U44" s="1"/>
      <c r="V44" s="1">
        <f>IF($R44="","",TRIM(MID($R44,FIND(" - ",$R44)+3,LEN($R44))))</f>
      </c>
      <c r="W44" s="1"/>
      <c r="AC44" s="8" t="str">
        <f>IF(AND(AA44&lt;&gt;"",AB44&lt;&gt;""),AA44-AB44,IF(AA44&lt;&gt;"",AA44,""))</f>
        <v/>
      </c>
      <c r="AE44" s="8" t="str">
        <f>IF(AND(Z44&lt;&gt;"",AD44&lt;&gt;""),Z44*AD44,"")</f>
        <v/>
      </c>
      <c r="AI44" s="2"/>
      <c r="AJ44" s="3" t="str">
        <f>IF(AI44=18%,ROUND((AC44+AM44)*0.18,2),"")</f>
        <v/>
      </c>
      <c r="AK44" s="3" t="str">
        <f>IF(AI44=25%,ROUND((AC44+AM44)*0.25,2),"")</f>
        <v/>
      </c>
      <c r="AL44" s="9">
        <f>IF(OR($AC44="",$AD44=""),"",IFERROR($AC44/$AD44,0))</f>
      </c>
      <c r="AM44">
        <f>IF($AC44="","",
IF($S44="","",
IF(ISNUMBER(SEARCH("exempt",LOWER($S44))),0,
$AC44*(VALUE(SUBSTITUTE($S44,"%",""))/100))))</f>
      </c>
      <c r="AS44">
        <f>IF($AC44="","",
SUM($AC44,$AM44,$AQ44,$AN44,$AP44,$AO44,$AR44))</f>
      </c>
      <c r="AX44" t="s">
        <v>221</v>
      </c>
      <c r="AZ44" t="s">
        <v>222</v>
      </c>
    </row>
    <row r="45" spans="1:52" x14ac:dyDescent="0.25">
      <c r="R45" s="1"/>
      <c r="S45" s="1"/>
      <c r="T45" s="1"/>
      <c r="U45" s="1"/>
      <c r="V45" s="1">
        <f>IF($R45="","",TRIM(MID($R45,FIND(" - ",$R45)+3,LEN($R45))))</f>
      </c>
      <c r="W45" s="1"/>
      <c r="AC45" s="8" t="str">
        <f>IF(AND(AA45&lt;&gt;"",AB45&lt;&gt;""),AA45-AB45,IF(AA45&lt;&gt;"",AA45,""))</f>
        <v/>
      </c>
      <c r="AE45" s="8" t="str">
        <f>IF(AND(Z45&lt;&gt;"",AD45&lt;&gt;""),Z45*AD45,"")</f>
        <v/>
      </c>
      <c r="AI45" s="2"/>
      <c r="AJ45" s="3" t="str">
        <f>IF(AI45=18%,ROUND((AC45+AM45)*0.18,2),"")</f>
        <v/>
      </c>
      <c r="AK45" s="3" t="str">
        <f>IF(AI45=25%,ROUND((AC45+AM45)*0.25,2),"")</f>
        <v/>
      </c>
      <c r="AL45" s="9">
        <f>IF(OR($AC45="",$AD45=""),"",IFERROR($AC45/$AD45,0))</f>
      </c>
      <c r="AM45">
        <f>IF($AC45="","",
IF($S45="","",
IF(ISNUMBER(SEARCH("exempt",LOWER($S45))),0,
$AC45*(VALUE(SUBSTITUTE($S45,"%",""))/100))))</f>
      </c>
      <c r="AS45">
        <f>IF($AC45="","",
SUM($AC45,$AM45,$AQ45,$AN45,$AP45,$AO45,$AR45))</f>
      </c>
      <c r="AX45" t="s">
        <v>223</v>
      </c>
      <c r="AZ45" t="s">
        <v>224</v>
      </c>
    </row>
    <row r="46" spans="1:52" x14ac:dyDescent="0.25">
      <c r="R46" s="1"/>
      <c r="S46" s="1"/>
      <c r="T46" s="1"/>
      <c r="U46" s="1"/>
      <c r="V46" s="1">
        <f>IF($R46="","",TRIM(MID($R46,FIND(" - ",$R46)+3,LEN($R46))))</f>
      </c>
      <c r="W46" s="1"/>
      <c r="AC46" s="8" t="str">
        <f>IF(AND(AA46&lt;&gt;"",AB46&lt;&gt;""),AA46-AB46,IF(AA46&lt;&gt;"",AA46,""))</f>
        <v/>
      </c>
      <c r="AE46" s="8" t="str">
        <f>IF(AND(Z46&lt;&gt;"",AD46&lt;&gt;""),Z46*AD46,"")</f>
        <v/>
      </c>
      <c r="AI46" s="2"/>
      <c r="AJ46" s="3" t="str">
        <f>IF(AI46=18%,ROUND((AC46+AM46)*0.18,2),"")</f>
        <v/>
      </c>
      <c r="AK46" s="3" t="str">
        <f>IF(AI46=25%,ROUND((AC46+AM46)*0.25,2),"")</f>
        <v/>
      </c>
      <c r="AL46" s="9">
        <f>IF(OR($AC46="",$AD46=""),"",IFERROR($AC46/$AD46,0))</f>
      </c>
      <c r="AM46">
        <f>IF($AC46="","",
IF($S46="","",
IF(ISNUMBER(SEARCH("exempt",LOWER($S46))),0,
$AC46*(VALUE(SUBSTITUTE($S46,"%",""))/100))))</f>
      </c>
      <c r="AS46">
        <f>IF($AC46="","",
SUM($AC46,$AM46,$AQ46,$AN46,$AP46,$AO46,$AR46))</f>
      </c>
      <c r="AX46" t="s">
        <v>225</v>
      </c>
      <c r="AZ46" t="s">
        <v>226</v>
      </c>
    </row>
    <row r="47" spans="1:52" x14ac:dyDescent="0.25">
      <c r="R47" s="1"/>
      <c r="S47" s="1"/>
      <c r="T47" s="1"/>
      <c r="U47" s="1"/>
      <c r="V47" s="1">
        <f>IF($R47="","",TRIM(MID($R47,FIND(" - ",$R47)+3,LEN($R47))))</f>
      </c>
      <c r="W47" s="1"/>
      <c r="AC47" s="8" t="str">
        <f>IF(AND(AA47&lt;&gt;"",AB47&lt;&gt;""),AA47-AB47,IF(AA47&lt;&gt;"",AA47,""))</f>
        <v/>
      </c>
      <c r="AE47" s="8" t="str">
        <f>IF(AND(Z47&lt;&gt;"",AD47&lt;&gt;""),Z47*AD47,"")</f>
        <v/>
      </c>
      <c r="AI47" s="2"/>
      <c r="AJ47" s="3" t="str">
        <f>IF(AI47=18%,ROUND((AC47+AM47)*0.18,2),"")</f>
        <v/>
      </c>
      <c r="AK47" s="3" t="str">
        <f>IF(AI47=25%,ROUND((AC47+AM47)*0.25,2),"")</f>
        <v/>
      </c>
      <c r="AL47" s="9">
        <f>IF(OR($AC47="",$AD47=""),"",IFERROR($AC47/$AD47,0))</f>
      </c>
      <c r="AM47">
        <f>IF($AC47="","",
IF($S47="","",
IF(ISNUMBER(SEARCH("exempt",LOWER($S47))),0,
$AC47*(VALUE(SUBSTITUTE($S47,"%",""))/100))))</f>
      </c>
      <c r="AS47">
        <f>IF($AC47="","",
SUM($AC47,$AM47,$AQ47,$AN47,$AP47,$AO47,$AR47))</f>
      </c>
      <c r="AX47" t="s">
        <v>227</v>
      </c>
      <c r="AZ47" t="s">
        <v>228</v>
      </c>
    </row>
    <row r="48" spans="1:52" x14ac:dyDescent="0.25">
      <c r="R48" s="1"/>
      <c r="S48" s="1"/>
      <c r="T48" s="1"/>
      <c r="U48" s="1"/>
      <c r="V48" s="1">
        <f>IF($R48="","",TRIM(MID($R48,FIND(" - ",$R48)+3,LEN($R48))))</f>
      </c>
      <c r="W48" s="1"/>
      <c r="AC48" s="8" t="str">
        <f>IF(AND(AA48&lt;&gt;"",AB48&lt;&gt;""),AA48-AB48,IF(AA48&lt;&gt;"",AA48,""))</f>
        <v/>
      </c>
      <c r="AE48" s="8" t="str">
        <f>IF(AND(Z48&lt;&gt;"",AD48&lt;&gt;""),Z48*AD48,"")</f>
        <v/>
      </c>
      <c r="AI48" s="2"/>
      <c r="AJ48" s="3" t="str">
        <f>IF(AI48=18%,ROUND((AC48+AM48)*0.18,2),"")</f>
        <v/>
      </c>
      <c r="AK48" s="3" t="str">
        <f>IF(AI48=25%,ROUND((AC48+AM48)*0.25,2),"")</f>
        <v/>
      </c>
      <c r="AL48" s="9">
        <f>IF(OR($AC48="",$AD48=""),"",IFERROR($AC48/$AD48,0))</f>
      </c>
      <c r="AM48">
        <f>IF($AC48="","",
IF($S48="","",
IF(ISNUMBER(SEARCH("exempt",LOWER($S48))),0,
$AC48*(VALUE(SUBSTITUTE($S48,"%",""))/100))))</f>
      </c>
      <c r="AS48">
        <f>IF($AC48="","",
SUM($AC48,$AM48,$AQ48,$AN48,$AP48,$AO48,$AR48))</f>
      </c>
      <c r="AX48" t="s">
        <v>229</v>
      </c>
      <c r="AZ48" t="s">
        <v>230</v>
      </c>
    </row>
    <row r="49" spans="1:52" x14ac:dyDescent="0.25">
      <c r="R49" s="1"/>
      <c r="S49" s="1"/>
      <c r="T49" s="1"/>
      <c r="U49" s="1"/>
      <c r="V49" s="1">
        <f>IF($R49="","",TRIM(MID($R49,FIND(" - ",$R49)+3,LEN($R49))))</f>
      </c>
      <c r="W49" s="1"/>
      <c r="AC49" s="8" t="str">
        <f>IF(AND(AA49&lt;&gt;"",AB49&lt;&gt;""),AA49-AB49,IF(AA49&lt;&gt;"",AA49,""))</f>
        <v/>
      </c>
      <c r="AE49" s="8" t="str">
        <f>IF(AND(Z49&lt;&gt;"",AD49&lt;&gt;""),Z49*AD49,"")</f>
        <v/>
      </c>
      <c r="AI49" s="2"/>
      <c r="AJ49" s="3" t="str">
        <f>IF(AI49=18%,ROUND((AC49+AM49)*0.18,2),"")</f>
        <v/>
      </c>
      <c r="AK49" s="3" t="str">
        <f>IF(AI49=25%,ROUND((AC49+AM49)*0.25,2),"")</f>
        <v/>
      </c>
      <c r="AL49" s="9">
        <f>IF(OR($AC49="",$AD49=""),"",IFERROR($AC49/$AD49,0))</f>
      </c>
      <c r="AM49">
        <f>IF($AC49="","",
IF($S49="","",
IF(ISNUMBER(SEARCH("exempt",LOWER($S49))),0,
$AC49*(VALUE(SUBSTITUTE($S49,"%",""))/100))))</f>
      </c>
      <c r="AS49">
        <f>IF($AC49="","",
SUM($AC49,$AM49,$AQ49,$AN49,$AP49,$AO49,$AR49))</f>
      </c>
      <c r="AX49" t="s">
        <v>231</v>
      </c>
      <c r="AZ49" t="s">
        <v>232</v>
      </c>
    </row>
    <row r="50" spans="1:52" x14ac:dyDescent="0.25">
      <c r="R50" s="1"/>
      <c r="S50" s="1"/>
      <c r="T50" s="1"/>
      <c r="U50" s="1"/>
      <c r="V50" s="1">
        <f>IF($R50="","",TRIM(MID($R50,FIND(" - ",$R50)+3,LEN($R50))))</f>
      </c>
      <c r="W50" s="1"/>
      <c r="AC50" s="8" t="str">
        <f>IF(AND(AA50&lt;&gt;"",AB50&lt;&gt;""),AA50-AB50,IF(AA50&lt;&gt;"",AA50,""))</f>
        <v/>
      </c>
      <c r="AE50" s="8" t="str">
        <f>IF(AND(Z50&lt;&gt;"",AD50&lt;&gt;""),Z50*AD50,"")</f>
        <v/>
      </c>
      <c r="AI50" s="2"/>
      <c r="AJ50" s="3" t="str">
        <f>IF(AI50=18%,ROUND((AC50+AM50)*0.18,2),"")</f>
        <v/>
      </c>
      <c r="AK50" s="3" t="str">
        <f>IF(AI50=25%,ROUND((AC50+AM50)*0.25,2),"")</f>
        <v/>
      </c>
      <c r="AL50" s="9">
        <f>IF(OR($AC50="",$AD50=""),"",IFERROR($AC50/$AD50,0))</f>
      </c>
      <c r="AM50">
        <f>IF($AC50="","",
IF($S50="","",
IF(ISNUMBER(SEARCH("exempt",LOWER($S50))),0,
$AC50*(VALUE(SUBSTITUTE($S50,"%",""))/100))))</f>
      </c>
      <c r="AS50">
        <f>IF($AC50="","",
SUM($AC50,$AM50,$AQ50,$AN50,$AP50,$AO50,$AR50))</f>
      </c>
      <c r="AX50" t="s">
        <v>233</v>
      </c>
      <c r="AZ50" t="s">
        <v>234</v>
      </c>
    </row>
    <row r="51" spans="1:52" x14ac:dyDescent="0.25">
      <c r="R51" s="1"/>
      <c r="S51" s="1"/>
      <c r="T51" s="1"/>
      <c r="U51" s="1"/>
      <c r="V51" s="1">
        <f>IF($R51="","",TRIM(MID($R51,FIND(" - ",$R51)+3,LEN($R51))))</f>
      </c>
      <c r="W51" s="1"/>
      <c r="AC51" s="8" t="str">
        <f>IF(AND(AA51&lt;&gt;"",AB51&lt;&gt;""),AA51-AB51,IF(AA51&lt;&gt;"",AA51,""))</f>
        <v/>
      </c>
      <c r="AE51" s="8" t="str">
        <f>IF(AND(Z51&lt;&gt;"",AD51&lt;&gt;""),Z51*AD51,"")</f>
        <v/>
      </c>
      <c r="AI51" s="2"/>
      <c r="AJ51" s="3" t="str">
        <f>IF(AI51=18%,ROUND((AC51+AM51)*0.18,2),"")</f>
        <v/>
      </c>
      <c r="AK51" s="3" t="str">
        <f>IF(AI51=25%,ROUND((AC51+AM51)*0.25,2),"")</f>
        <v/>
      </c>
      <c r="AL51" s="9">
        <f>IF(OR($AC51="",$AD51=""),"",IFERROR($AC51/$AD51,0))</f>
      </c>
      <c r="AM51">
        <f>IF($AC51="","",
IF($S51="","",
IF(ISNUMBER(SEARCH("exempt",LOWER($S51))),0,
$AC51*(VALUE(SUBSTITUTE($S51,"%",""))/100))))</f>
      </c>
      <c r="AS51">
        <f>IF($AC51="","",
SUM($AC51,$AM51,$AQ51,$AN51,$AP51,$AO51,$AR51))</f>
      </c>
      <c r="AX51" t="s">
        <v>235</v>
      </c>
      <c r="AZ51" t="s">
        <v>236</v>
      </c>
    </row>
    <row r="52" spans="1:52" x14ac:dyDescent="0.25">
      <c r="R52" s="1"/>
      <c r="S52" s="1"/>
      <c r="T52" s="1"/>
      <c r="U52" s="1"/>
      <c r="V52" s="1">
        <f>IF($R52="","",TRIM(MID($R52,FIND(" - ",$R52)+3,LEN($R52))))</f>
      </c>
      <c r="W52" s="1"/>
      <c r="AC52" s="8" t="str">
        <f>IF(AND(AA52&lt;&gt;"",AB52&lt;&gt;""),AA52-AB52,IF(AA52&lt;&gt;"",AA52,""))</f>
        <v/>
      </c>
      <c r="AE52" s="8" t="str">
        <f>IF(AND(Z52&lt;&gt;"",AD52&lt;&gt;""),Z52*AD52,"")</f>
        <v/>
      </c>
      <c r="AI52" s="2"/>
      <c r="AJ52" s="3" t="str">
        <f>IF(AI52=18%,ROUND((AC52+AM52)*0.18,2),"")</f>
        <v/>
      </c>
      <c r="AK52" s="3" t="str">
        <f>IF(AI52=25%,ROUND((AC52+AM52)*0.25,2),"")</f>
        <v/>
      </c>
      <c r="AL52" s="9">
        <f>IF(OR($AC52="",$AD52=""),"",IFERROR($AC52/$AD52,0))</f>
      </c>
      <c r="AM52">
        <f>IF($AC52="","",
IF($S52="","",
IF(ISNUMBER(SEARCH("exempt",LOWER($S52))),0,
$AC52*(VALUE(SUBSTITUTE($S52,"%",""))/100))))</f>
      </c>
      <c r="AS52">
        <f>IF($AC52="","",
SUM($AC52,$AM52,$AQ52,$AN52,$AP52,$AO52,$AR52))</f>
      </c>
      <c r="AX52" t="s">
        <v>237</v>
      </c>
      <c r="AZ52" t="s">
        <v>238</v>
      </c>
    </row>
    <row r="53" spans="1:52" x14ac:dyDescent="0.25">
      <c r="R53" s="1"/>
      <c r="S53" s="1"/>
      <c r="T53" s="1"/>
      <c r="U53" s="1"/>
      <c r="V53" s="1">
        <f>IF($R53="","",TRIM(MID($R53,FIND(" - ",$R53)+3,LEN($R53))))</f>
      </c>
      <c r="W53" s="1"/>
      <c r="AC53" s="8" t="str">
        <f>IF(AND(AA53&lt;&gt;"",AB53&lt;&gt;""),AA53-AB53,IF(AA53&lt;&gt;"",AA53,""))</f>
        <v/>
      </c>
      <c r="AE53" s="8" t="str">
        <f>IF(AND(Z53&lt;&gt;"",AD53&lt;&gt;""),Z53*AD53,"")</f>
        <v/>
      </c>
      <c r="AI53" s="2"/>
      <c r="AJ53" s="3" t="str">
        <f>IF(AI53=18%,ROUND((AC53+AM53)*0.18,2),"")</f>
        <v/>
      </c>
      <c r="AK53" s="3" t="str">
        <f>IF(AI53=25%,ROUND((AC53+AM53)*0.25,2),"")</f>
        <v/>
      </c>
      <c r="AL53" s="9">
        <f>IF(OR($AC53="",$AD53=""),"",IFERROR($AC53/$AD53,0))</f>
      </c>
      <c r="AM53">
        <f>IF($AC53="","",
IF($S53="","",
IF(ISNUMBER(SEARCH("exempt",LOWER($S53))),0,
$AC53*(VALUE(SUBSTITUTE($S53,"%",""))/100))))</f>
      </c>
      <c r="AS53">
        <f>IF($AC53="","",
SUM($AC53,$AM53,$AQ53,$AN53,$AP53,$AO53,$AR53))</f>
      </c>
      <c r="AX53" t="s">
        <v>58</v>
      </c>
      <c r="AZ53" t="s">
        <v>239</v>
      </c>
    </row>
    <row r="54" spans="1:52" x14ac:dyDescent="0.25">
      <c r="R54" s="1"/>
      <c r="S54" s="1"/>
      <c r="T54" s="1"/>
      <c r="U54" s="1"/>
      <c r="V54" s="1">
        <f>IF($R54="","",TRIM(MID($R54,FIND(" - ",$R54)+3,LEN($R54))))</f>
      </c>
      <c r="W54" s="1"/>
      <c r="AC54" s="8" t="str">
        <f>IF(AND(AA54&lt;&gt;"",AB54&lt;&gt;""),AA54-AB54,IF(AA54&lt;&gt;"",AA54,""))</f>
        <v/>
      </c>
      <c r="AE54" s="8" t="str">
        <f>IF(AND(Z54&lt;&gt;"",AD54&lt;&gt;""),Z54*AD54,"")</f>
        <v/>
      </c>
      <c r="AI54" s="2"/>
      <c r="AJ54" s="3" t="str">
        <f>IF(AI54=18%,ROUND((AC54+AM54)*0.18,2),"")</f>
        <v/>
      </c>
      <c r="AK54" s="3" t="str">
        <f>IF(AI54=25%,ROUND((AC54+AM54)*0.25,2),"")</f>
        <v/>
      </c>
      <c r="AL54" s="9">
        <f>IF(OR($AC54="",$AD54=""),"",IFERROR($AC54/$AD54,0))</f>
      </c>
      <c r="AM54">
        <f>IF($AC54="","",
IF($S54="","",
IF(ISNUMBER(SEARCH("exempt",LOWER($S54))),0,
$AC54*(VALUE(SUBSTITUTE($S54,"%",""))/100))))</f>
      </c>
      <c r="AS54">
        <f>IF($AC54="","",
SUM($AC54,$AM54,$AQ54,$AN54,$AP54,$AO54,$AR54))</f>
      </c>
      <c r="AX54" t="s">
        <v>240</v>
      </c>
      <c r="AZ54" t="s">
        <v>241</v>
      </c>
    </row>
    <row r="55" spans="1:52" x14ac:dyDescent="0.25">
      <c r="R55" s="1"/>
      <c r="S55" s="1"/>
      <c r="T55" s="1"/>
      <c r="U55" s="1"/>
      <c r="V55" s="1">
        <f>IF($R55="","",TRIM(MID($R55,FIND(" - ",$R55)+3,LEN($R55))))</f>
      </c>
      <c r="W55" s="1"/>
      <c r="AC55" s="8" t="str">
        <f>IF(AND(AA55&lt;&gt;"",AB55&lt;&gt;""),AA55-AB55,IF(AA55&lt;&gt;"",AA55,""))</f>
        <v/>
      </c>
      <c r="AE55" s="8" t="str">
        <f>IF(AND(Z55&lt;&gt;"",AD55&lt;&gt;""),Z55*AD55,"")</f>
        <v/>
      </c>
      <c r="AI55" s="2"/>
      <c r="AJ55" s="3" t="str">
        <f>IF(AI55=18%,ROUND((AC55+AM55)*0.18,2),"")</f>
        <v/>
      </c>
      <c r="AK55" s="3" t="str">
        <f>IF(AI55=25%,ROUND((AC55+AM55)*0.25,2),"")</f>
        <v/>
      </c>
      <c r="AL55" s="9">
        <f>IF(OR($AC55="",$AD55=""),"",IFERROR($AC55/$AD55,0))</f>
      </c>
      <c r="AM55">
        <f>IF($AC55="","",
IF($S55="","",
IF(ISNUMBER(SEARCH("exempt",LOWER($S55))),0,
$AC55*(VALUE(SUBSTITUTE($S55,"%",""))/100))))</f>
      </c>
      <c r="AS55">
        <f>IF($AC55="","",
SUM($AC55,$AM55,$AQ55,$AN55,$AP55,$AO55,$AR55))</f>
      </c>
      <c r="AX55" t="s">
        <v>242</v>
      </c>
      <c r="AZ55" t="s">
        <v>243</v>
      </c>
    </row>
    <row r="56" spans="1:52" x14ac:dyDescent="0.25">
      <c r="R56" s="1"/>
      <c r="S56" s="1"/>
      <c r="T56" s="1"/>
      <c r="U56" s="1"/>
      <c r="V56" s="1">
        <f>IF($R56="","",TRIM(MID($R56,FIND(" - ",$R56)+3,LEN($R56))))</f>
      </c>
      <c r="W56" s="1"/>
      <c r="AC56" s="8" t="str">
        <f>IF(AND(AA56&lt;&gt;"",AB56&lt;&gt;""),AA56-AB56,IF(AA56&lt;&gt;"",AA56,""))</f>
        <v/>
      </c>
      <c r="AE56" s="8" t="str">
        <f>IF(AND(Z56&lt;&gt;"",AD56&lt;&gt;""),Z56*AD56,"")</f>
        <v/>
      </c>
      <c r="AI56" s="2"/>
      <c r="AJ56" s="3" t="str">
        <f>IF(AI56=18%,ROUND((AC56+AM56)*0.18,2),"")</f>
        <v/>
      </c>
      <c r="AK56" s="3" t="str">
        <f>IF(AI56=25%,ROUND((AC56+AM56)*0.25,2),"")</f>
        <v/>
      </c>
      <c r="AL56" s="9">
        <f>IF(OR($AC56="",$AD56=""),"",IFERROR($AC56/$AD56,0))</f>
      </c>
      <c r="AM56">
        <f>IF($AC56="","",
IF($S56="","",
IF(ISNUMBER(SEARCH("exempt",LOWER($S56))),0,
$AC56*(VALUE(SUBSTITUTE($S56,"%",""))/100))))</f>
      </c>
      <c r="AS56">
        <f>IF($AC56="","",
SUM($AC56,$AM56,$AQ56,$AN56,$AP56,$AO56,$AR56))</f>
      </c>
      <c r="AX56" t="s">
        <v>244</v>
      </c>
      <c r="AZ56" t="s">
        <v>245</v>
      </c>
    </row>
    <row r="57" spans="1:52" x14ac:dyDescent="0.25">
      <c r="R57" s="1"/>
      <c r="S57" s="1"/>
      <c r="T57" s="1"/>
      <c r="U57" s="1"/>
      <c r="V57" s="1">
        <f>IF($R57="","",TRIM(MID($R57,FIND(" - ",$R57)+3,LEN($R57))))</f>
      </c>
      <c r="W57" s="1"/>
      <c r="AC57" s="8" t="str">
        <f>IF(AND(AA57&lt;&gt;"",AB57&lt;&gt;""),AA57-AB57,IF(AA57&lt;&gt;"",AA57,""))</f>
        <v/>
      </c>
      <c r="AE57" s="8" t="str">
        <f>IF(AND(Z57&lt;&gt;"",AD57&lt;&gt;""),Z57*AD57,"")</f>
        <v/>
      </c>
      <c r="AI57" s="2"/>
      <c r="AJ57" s="3" t="str">
        <f>IF(AI57=18%,ROUND((AC57+AM57)*0.18,2),"")</f>
        <v/>
      </c>
      <c r="AK57" s="3" t="str">
        <f>IF(AI57=25%,ROUND((AC57+AM57)*0.25,2),"")</f>
        <v/>
      </c>
      <c r="AL57" s="9">
        <f>IF(OR($AC57="",$AD57=""),"",IFERROR($AC57/$AD57,0))</f>
      </c>
      <c r="AM57">
        <f>IF($AC57="","",
IF($S57="","",
IF(ISNUMBER(SEARCH("exempt",LOWER($S57))),0,
$AC57*(VALUE(SUBSTITUTE($S57,"%",""))/100))))</f>
      </c>
      <c r="AS57">
        <f>IF($AC57="","",
SUM($AC57,$AM57,$AQ57,$AN57,$AP57,$AO57,$AR57))</f>
      </c>
      <c r="AX57" t="s">
        <v>246</v>
      </c>
      <c r="AZ57" t="s">
        <v>247</v>
      </c>
    </row>
    <row r="58" spans="1:52" x14ac:dyDescent="0.25">
      <c r="R58" s="1"/>
      <c r="S58" s="1"/>
      <c r="T58" s="1"/>
      <c r="U58" s="1"/>
      <c r="V58" s="1">
        <f>IF($R58="","",TRIM(MID($R58,FIND(" - ",$R58)+3,LEN($R58))))</f>
      </c>
      <c r="W58" s="1"/>
      <c r="AC58" s="8" t="str">
        <f>IF(AND(AA58&lt;&gt;"",AB58&lt;&gt;""),AA58-AB58,IF(AA58&lt;&gt;"",AA58,""))</f>
        <v/>
      </c>
      <c r="AE58" s="8" t="str">
        <f>IF(AND(Z58&lt;&gt;"",AD58&lt;&gt;""),Z58*AD58,"")</f>
        <v/>
      </c>
      <c r="AI58" s="2"/>
      <c r="AJ58" s="3" t="str">
        <f>IF(AI58=18%,ROUND((AC58+AM58)*0.18,2),"")</f>
        <v/>
      </c>
      <c r="AK58" s="3" t="str">
        <f>IF(AI58=25%,ROUND((AC58+AM58)*0.25,2),"")</f>
        <v/>
      </c>
      <c r="AL58" s="9">
        <f>IF(OR($AC58="",$AD58=""),"",IFERROR($AC58/$AD58,0))</f>
      </c>
      <c r="AM58">
        <f>IF($AC58="","",
IF($S58="","",
IF(ISNUMBER(SEARCH("exempt",LOWER($S58))),0,
$AC58*(VALUE(SUBSTITUTE($S58,"%",""))/100))))</f>
      </c>
      <c r="AS58">
        <f>IF($AC58="","",
SUM($AC58,$AM58,$AQ58,$AN58,$AP58,$AO58,$AR58))</f>
      </c>
      <c r="AX58" t="s">
        <v>248</v>
      </c>
      <c r="AZ58" t="s">
        <v>249</v>
      </c>
    </row>
    <row r="59" spans="1:52" x14ac:dyDescent="0.25">
      <c r="R59" s="1"/>
      <c r="S59" s="1"/>
      <c r="T59" s="1"/>
      <c r="U59" s="1"/>
      <c r="V59" s="1">
        <f>IF($R59="","",TRIM(MID($R59,FIND(" - ",$R59)+3,LEN($R59))))</f>
      </c>
      <c r="W59" s="1"/>
      <c r="AC59" s="8" t="str">
        <f>IF(AND(AA59&lt;&gt;"",AB59&lt;&gt;""),AA59-AB59,IF(AA59&lt;&gt;"",AA59,""))</f>
        <v/>
      </c>
      <c r="AE59" s="8" t="str">
        <f>IF(AND(Z59&lt;&gt;"",AD59&lt;&gt;""),Z59*AD59,"")</f>
        <v/>
      </c>
      <c r="AI59" s="2"/>
      <c r="AJ59" s="3" t="str">
        <f>IF(AI59=18%,ROUND((AC59+AM59)*0.18,2),"")</f>
        <v/>
      </c>
      <c r="AK59" s="3" t="str">
        <f>IF(AI59=25%,ROUND((AC59+AM59)*0.25,2),"")</f>
        <v/>
      </c>
      <c r="AL59" s="9">
        <f>IF(OR($AC59="",$AD59=""),"",IFERROR($AC59/$AD59,0))</f>
      </c>
      <c r="AM59">
        <f>IF($AC59="","",
IF($S59="","",
IF(ISNUMBER(SEARCH("exempt",LOWER($S59))),0,
$AC59*(VALUE(SUBSTITUTE($S59,"%",""))/100))))</f>
      </c>
      <c r="AS59">
        <f>IF($AC59="","",
SUM($AC59,$AM59,$AQ59,$AN59,$AP59,$AO59,$AR59))</f>
      </c>
      <c r="AX59" t="s">
        <v>250</v>
      </c>
      <c r="AZ59" t="s">
        <v>251</v>
      </c>
    </row>
    <row r="60" spans="1:52" x14ac:dyDescent="0.25">
      <c r="R60" s="1"/>
      <c r="S60" s="1"/>
      <c r="T60" s="1"/>
      <c r="U60" s="1"/>
      <c r="V60" s="1">
        <f>IF($R60="","",TRIM(MID($R60,FIND(" - ",$R60)+3,LEN($R60))))</f>
      </c>
      <c r="W60" s="1"/>
      <c r="AC60" s="8" t="str">
        <f>IF(AND(AA60&lt;&gt;"",AB60&lt;&gt;""),AA60-AB60,IF(AA60&lt;&gt;"",AA60,""))</f>
        <v/>
      </c>
      <c r="AE60" s="8" t="str">
        <f>IF(AND(Z60&lt;&gt;"",AD60&lt;&gt;""),Z60*AD60,"")</f>
        <v/>
      </c>
      <c r="AI60" s="2"/>
      <c r="AJ60" s="3" t="str">
        <f>IF(AI60=18%,ROUND((AC60+AM60)*0.18,2),"")</f>
        <v/>
      </c>
      <c r="AK60" s="3" t="str">
        <f>IF(AI60=25%,ROUND((AC60+AM60)*0.25,2),"")</f>
        <v/>
      </c>
      <c r="AL60" s="9">
        <f>IF(OR($AC60="",$AD60=""),"",IFERROR($AC60/$AD60,0))</f>
      </c>
      <c r="AM60">
        <f>IF($AC60="","",
IF($S60="","",
IF(ISNUMBER(SEARCH("exempt",LOWER($S60))),0,
$AC60*(VALUE(SUBSTITUTE($S60,"%",""))/100))))</f>
      </c>
      <c r="AS60">
        <f>IF($AC60="","",
SUM($AC60,$AM60,$AQ60,$AN60,$AP60,$AO60,$AR60))</f>
      </c>
      <c r="AX60" t="s">
        <v>252</v>
      </c>
      <c r="AZ60" t="s">
        <v>253</v>
      </c>
    </row>
    <row r="61" spans="1:52" x14ac:dyDescent="0.25">
      <c r="R61" s="1"/>
      <c r="S61" s="1"/>
      <c r="T61" s="1"/>
      <c r="U61" s="1"/>
      <c r="V61" s="1">
        <f>IF($R61="","",TRIM(MID($R61,FIND(" - ",$R61)+3,LEN($R61))))</f>
      </c>
      <c r="W61" s="1"/>
      <c r="AC61" s="8" t="str">
        <f>IF(AND(AA61&lt;&gt;"",AB61&lt;&gt;""),AA61-AB61,IF(AA61&lt;&gt;"",AA61,""))</f>
        <v/>
      </c>
      <c r="AE61" s="8" t="str">
        <f>IF(AND(Z61&lt;&gt;"",AD61&lt;&gt;""),Z61*AD61,"")</f>
        <v/>
      </c>
      <c r="AI61" s="2"/>
      <c r="AJ61" s="3" t="str">
        <f>IF(AI61=18%,ROUND((AC61+AM61)*0.18,2),"")</f>
        <v/>
      </c>
      <c r="AK61" s="3" t="str">
        <f>IF(AI61=25%,ROUND((AC61+AM61)*0.25,2),"")</f>
        <v/>
      </c>
      <c r="AL61" s="9">
        <f>IF(OR($AC61="",$AD61=""),"",IFERROR($AC61/$AD61,0))</f>
      </c>
      <c r="AM61">
        <f>IF($AC61="","",
IF($S61="","",
IF(ISNUMBER(SEARCH("exempt",LOWER($S61))),0,
$AC61*(VALUE(SUBSTITUTE($S61,"%",""))/100))))</f>
      </c>
      <c r="AS61">
        <f>IF($AC61="","",
SUM($AC61,$AM61,$AQ61,$AN61,$AP61,$AO61,$AR61))</f>
      </c>
      <c r="AX61" t="s">
        <v>254</v>
      </c>
      <c r="AZ61" t="s">
        <v>255</v>
      </c>
    </row>
    <row r="62" spans="1:52" x14ac:dyDescent="0.25">
      <c r="R62" s="1"/>
      <c r="S62" s="1"/>
      <c r="T62" s="1"/>
      <c r="U62" s="1"/>
      <c r="V62" s="1">
        <f>IF($R62="","",TRIM(MID($R62,FIND(" - ",$R62)+3,LEN($R62))))</f>
      </c>
      <c r="W62" s="1"/>
      <c r="AC62" s="8" t="str">
        <f>IF(AND(AA62&lt;&gt;"",AB62&lt;&gt;""),AA62-AB62,IF(AA62&lt;&gt;"",AA62,""))</f>
        <v/>
      </c>
      <c r="AE62" s="8" t="str">
        <f>IF(AND(Z62&lt;&gt;"",AD62&lt;&gt;""),Z62*AD62,"")</f>
        <v/>
      </c>
      <c r="AI62" s="2"/>
      <c r="AJ62" s="3" t="str">
        <f>IF(AI62=18%,ROUND((AC62+AM62)*0.18,2),"")</f>
        <v/>
      </c>
      <c r="AK62" s="3" t="str">
        <f>IF(AI62=25%,ROUND((AC62+AM62)*0.25,2),"")</f>
        <v/>
      </c>
      <c r="AL62" s="9">
        <f>IF(OR($AC62="",$AD62=""),"",IFERROR($AC62/$AD62,0))</f>
      </c>
      <c r="AM62">
        <f>IF($AC62="","",
IF($S62="","",
IF(ISNUMBER(SEARCH("exempt",LOWER($S62))),0,
$AC62*(VALUE(SUBSTITUTE($S62,"%",""))/100))))</f>
      </c>
      <c r="AS62">
        <f>IF($AC62="","",
SUM($AC62,$AM62,$AQ62,$AN62,$AP62,$AO62,$AR62))</f>
      </c>
      <c r="AX62" t="s">
        <v>256</v>
      </c>
      <c r="AZ62" t="s">
        <v>257</v>
      </c>
    </row>
    <row r="63" spans="1:52" x14ac:dyDescent="0.25">
      <c r="R63" s="1"/>
      <c r="S63" s="1"/>
      <c r="T63" s="1"/>
      <c r="U63" s="1"/>
      <c r="V63" s="1">
        <f>IF($R63="","",TRIM(MID($R63,FIND(" - ",$R63)+3,LEN($R63))))</f>
      </c>
      <c r="W63" s="1"/>
      <c r="AC63" s="8" t="str">
        <f>IF(AND(AA63&lt;&gt;"",AB63&lt;&gt;""),AA63-AB63,IF(AA63&lt;&gt;"",AA63,""))</f>
        <v/>
      </c>
      <c r="AE63" s="8" t="str">
        <f>IF(AND(Z63&lt;&gt;"",AD63&lt;&gt;""),Z63*AD63,"")</f>
        <v/>
      </c>
      <c r="AI63" s="2"/>
      <c r="AJ63" s="3" t="str">
        <f>IF(AI63=18%,ROUND((AC63+AM63)*0.18,2),"")</f>
        <v/>
      </c>
      <c r="AK63" s="3" t="str">
        <f>IF(AI63=25%,ROUND((AC63+AM63)*0.25,2),"")</f>
        <v/>
      </c>
      <c r="AL63" s="9">
        <f>IF(OR($AC63="",$AD63=""),"",IFERROR($AC63/$AD63,0))</f>
      </c>
      <c r="AM63">
        <f>IF($AC63="","",
IF($S63="","",
IF(ISNUMBER(SEARCH("exempt",LOWER($S63))),0,
$AC63*(VALUE(SUBSTITUTE($S63,"%",""))/100))))</f>
      </c>
      <c r="AS63">
        <f>IF($AC63="","",
SUM($AC63,$AM63,$AQ63,$AN63,$AP63,$AO63,$AR63))</f>
      </c>
      <c r="AX63" t="s">
        <v>258</v>
      </c>
      <c r="AZ63" t="s">
        <v>259</v>
      </c>
    </row>
    <row r="64" spans="1:52" x14ac:dyDescent="0.25">
      <c r="R64" s="1"/>
      <c r="S64" s="1"/>
      <c r="T64" s="1"/>
      <c r="U64" s="1"/>
      <c r="V64" s="1">
        <f>IF($R64="","",TRIM(MID($R64,FIND(" - ",$R64)+3,LEN($R64))))</f>
      </c>
      <c r="W64" s="1"/>
      <c r="AC64" s="8" t="str">
        <f>IF(AND(AA64&lt;&gt;"",AB64&lt;&gt;""),AA64-AB64,IF(AA64&lt;&gt;"",AA64,""))</f>
        <v/>
      </c>
      <c r="AE64" s="8" t="str">
        <f>IF(AND(Z64&lt;&gt;"",AD64&lt;&gt;""),Z64*AD64,"")</f>
        <v/>
      </c>
      <c r="AI64" s="2"/>
      <c r="AJ64" s="3" t="str">
        <f>IF(AI64=18%,ROUND((AC64+AM64)*0.18,2),"")</f>
        <v/>
      </c>
      <c r="AK64" s="3" t="str">
        <f>IF(AI64=25%,ROUND((AC64+AM64)*0.25,2),"")</f>
        <v/>
      </c>
      <c r="AL64" s="9">
        <f>IF(OR($AC64="",$AD64=""),"",IFERROR($AC64/$AD64,0))</f>
      </c>
      <c r="AM64">
        <f>IF($AC64="","",
IF($S64="","",
IF(ISNUMBER(SEARCH("exempt",LOWER($S64))),0,
$AC64*(VALUE(SUBSTITUTE($S64,"%",""))/100))))</f>
      </c>
      <c r="AS64">
        <f>IF($AC64="","",
SUM($AC64,$AM64,$AQ64,$AN64,$AP64,$AO64,$AR64))</f>
      </c>
      <c r="AX64" t="s">
        <v>260</v>
      </c>
      <c r="AZ64" t="s">
        <v>261</v>
      </c>
    </row>
    <row r="65" spans="1:52" x14ac:dyDescent="0.25">
      <c r="R65" s="1"/>
      <c r="S65" s="1"/>
      <c r="T65" s="1"/>
      <c r="U65" s="1"/>
      <c r="V65" s="1">
        <f>IF($R65="","",TRIM(MID($R65,FIND(" - ",$R65)+3,LEN($R65))))</f>
      </c>
      <c r="W65" s="1"/>
      <c r="AC65" s="8" t="str">
        <f>IF(AND(AA65&lt;&gt;"",AB65&lt;&gt;""),AA65-AB65,IF(AA65&lt;&gt;"",AA65,""))</f>
        <v/>
      </c>
      <c r="AE65" s="8" t="str">
        <f>IF(AND(Z65&lt;&gt;"",AD65&lt;&gt;""),Z65*AD65,"")</f>
        <v/>
      </c>
      <c r="AI65" s="2"/>
      <c r="AJ65" s="3" t="str">
        <f>IF(AI65=18%,ROUND((AC65+AM65)*0.18,2),"")</f>
        <v/>
      </c>
      <c r="AK65" s="3" t="str">
        <f>IF(AI65=25%,ROUND((AC65+AM65)*0.25,2),"")</f>
        <v/>
      </c>
      <c r="AL65" s="9">
        <f>IF(OR($AC65="",$AD65=""),"",IFERROR($AC65/$AD65,0))</f>
      </c>
      <c r="AM65">
        <f>IF($AC65="","",
IF($S65="","",
IF(ISNUMBER(SEARCH("exempt",LOWER($S65))),0,
$AC65*(VALUE(SUBSTITUTE($S65,"%",""))/100))))</f>
      </c>
      <c r="AS65">
        <f>IF($AC65="","",
SUM($AC65,$AM65,$AQ65,$AN65,$AP65,$AO65,$AR65))</f>
      </c>
      <c r="AX65" t="s">
        <v>262</v>
      </c>
      <c r="AZ65" t="s">
        <v>263</v>
      </c>
    </row>
    <row r="66" spans="1:52" x14ac:dyDescent="0.25">
      <c r="R66" s="1"/>
      <c r="S66" s="1"/>
      <c r="T66" s="1"/>
      <c r="U66" s="1"/>
      <c r="V66" s="1">
        <f>IF($R66="","",TRIM(MID($R66,FIND(" - ",$R66)+3,LEN($R66))))</f>
      </c>
      <c r="W66" s="1"/>
      <c r="AC66" s="8" t="str">
        <f>IF(AND(AA66&lt;&gt;"",AB66&lt;&gt;""),AA66-AB66,IF(AA66&lt;&gt;"",AA66,""))</f>
        <v/>
      </c>
      <c r="AE66" s="8" t="str">
        <f>IF(AND(Z66&lt;&gt;"",AD66&lt;&gt;""),Z66*AD66,"")</f>
        <v/>
      </c>
      <c r="AI66" s="2"/>
      <c r="AJ66" s="3" t="str">
        <f>IF(AI66=18%,ROUND((AC66+AM66)*0.18,2),"")</f>
        <v/>
      </c>
      <c r="AK66" s="3" t="str">
        <f>IF(AI66=25%,ROUND((AC66+AM66)*0.25,2),"")</f>
        <v/>
      </c>
      <c r="AL66" s="9">
        <f>IF(OR($AC66="",$AD66=""),"",IFERROR($AC66/$AD66,0))</f>
      </c>
      <c r="AM66">
        <f>IF($AC66="","",
IF($S66="","",
IF(ISNUMBER(SEARCH("exempt",LOWER($S66))),0,
$AC66*(VALUE(SUBSTITUTE($S66,"%",""))/100))))</f>
      </c>
      <c r="AS66">
        <f>IF($AC66="","",
SUM($AC66,$AM66,$AQ66,$AN66,$AP66,$AO66,$AR66))</f>
      </c>
      <c r="AX66" t="s">
        <v>264</v>
      </c>
      <c r="AZ66" t="s">
        <v>265</v>
      </c>
    </row>
    <row r="67" spans="1:52" x14ac:dyDescent="0.25">
      <c r="R67" s="1"/>
      <c r="S67" s="1"/>
      <c r="T67" s="1"/>
      <c r="U67" s="1"/>
      <c r="V67" s="1">
        <f>IF($R67="","",TRIM(MID($R67,FIND(" - ",$R67)+3,LEN($R67))))</f>
      </c>
      <c r="W67" s="1"/>
      <c r="AC67" s="8" t="str">
        <f>IF(AND(AA67&lt;&gt;"",AB67&lt;&gt;""),AA67-AB67,IF(AA67&lt;&gt;"",AA67,""))</f>
        <v/>
      </c>
      <c r="AE67" s="8" t="str">
        <f>IF(AND(Z67&lt;&gt;"",AD67&lt;&gt;""),Z67*AD67,"")</f>
        <v/>
      </c>
      <c r="AI67" s="2"/>
      <c r="AJ67" s="3" t="str">
        <f>IF(AI67=18%,ROUND((AC67+AM67)*0.18,2),"")</f>
        <v/>
      </c>
      <c r="AK67" s="3" t="str">
        <f>IF(AI67=25%,ROUND((AC67+AM67)*0.25,2),"")</f>
        <v/>
      </c>
      <c r="AL67" s="9">
        <f>IF(OR($AC67="",$AD67=""),"",IFERROR($AC67/$AD67,0))</f>
      </c>
      <c r="AM67">
        <f>IF($AC67="","",
IF($S67="","",
IF(ISNUMBER(SEARCH("exempt",LOWER($S67))),0,
$AC67*(VALUE(SUBSTITUTE($S67,"%",""))/100))))</f>
      </c>
      <c r="AS67">
        <f>IF($AC67="","",
SUM($AC67,$AM67,$AQ67,$AN67,$AP67,$AO67,$AR67))</f>
      </c>
      <c r="AX67" t="s">
        <v>266</v>
      </c>
      <c r="AZ67" t="s">
        <v>267</v>
      </c>
    </row>
    <row r="68" spans="1:52" x14ac:dyDescent="0.25">
      <c r="R68" s="1"/>
      <c r="S68" s="1"/>
      <c r="T68" s="1"/>
      <c r="U68" s="1"/>
      <c r="V68" s="1">
        <f>IF($R68="","",TRIM(MID($R68,FIND(" - ",$R68)+3,LEN($R68))))</f>
      </c>
      <c r="W68" s="1"/>
      <c r="AC68" s="8" t="str">
        <f>IF(AND(AA68&lt;&gt;"",AB68&lt;&gt;""),AA68-AB68,IF(AA68&lt;&gt;"",AA68,""))</f>
        <v/>
      </c>
      <c r="AE68" s="8" t="str">
        <f>IF(AND(Z68&lt;&gt;"",AD68&lt;&gt;""),Z68*AD68,"")</f>
        <v/>
      </c>
      <c r="AI68" s="2"/>
      <c r="AJ68" s="3" t="str">
        <f>IF(AI68=18%,ROUND((AC68+AM68)*0.18,2),"")</f>
        <v/>
      </c>
      <c r="AK68" s="3" t="str">
        <f>IF(AI68=25%,ROUND((AC68+AM68)*0.25,2),"")</f>
        <v/>
      </c>
      <c r="AL68" s="9">
        <f>IF(OR($AC68="",$AD68=""),"",IFERROR($AC68/$AD68,0))</f>
      </c>
      <c r="AM68">
        <f>IF($AC68="","",
IF($S68="","",
IF(ISNUMBER(SEARCH("exempt",LOWER($S68))),0,
$AC68*(VALUE(SUBSTITUTE($S68,"%",""))/100))))</f>
      </c>
      <c r="AS68">
        <f>IF($AC68="","",
SUM($AC68,$AM68,$AQ68,$AN68,$AP68,$AO68,$AR68))</f>
      </c>
      <c r="AX68" t="s">
        <v>268</v>
      </c>
      <c r="AZ68" t="s">
        <v>269</v>
      </c>
    </row>
    <row r="69" spans="1:52" x14ac:dyDescent="0.25">
      <c r="R69" s="1"/>
      <c r="S69" s="1"/>
      <c r="T69" s="1"/>
      <c r="U69" s="1"/>
      <c r="V69" s="1">
        <f>IF($R69="","",TRIM(MID($R69,FIND(" - ",$R69)+3,LEN($R69))))</f>
      </c>
      <c r="W69" s="1"/>
      <c r="AC69" s="8" t="str">
        <f>IF(AND(AA69&lt;&gt;"",AB69&lt;&gt;""),AA69-AB69,IF(AA69&lt;&gt;"",AA69,""))</f>
        <v/>
      </c>
      <c r="AE69" s="8" t="str">
        <f>IF(AND(Z69&lt;&gt;"",AD69&lt;&gt;""),Z69*AD69,"")</f>
        <v/>
      </c>
      <c r="AI69" s="2"/>
      <c r="AJ69" s="3" t="str">
        <f>IF(AI69=18%,ROUND((AC69+AM69)*0.18,2),"")</f>
        <v/>
      </c>
      <c r="AK69" s="3" t="str">
        <f>IF(AI69=25%,ROUND((AC69+AM69)*0.25,2),"")</f>
        <v/>
      </c>
      <c r="AL69" s="9">
        <f>IF(OR($AC69="",$AD69=""),"",IFERROR($AC69/$AD69,0))</f>
      </c>
      <c r="AM69">
        <f>IF($AC69="","",
IF($S69="","",
IF(ISNUMBER(SEARCH("exempt",LOWER($S69))),0,
$AC69*(VALUE(SUBSTITUTE($S69,"%",""))/100))))</f>
      </c>
      <c r="AS69">
        <f>IF($AC69="","",
SUM($AC69,$AM69,$AQ69,$AN69,$AP69,$AO69,$AR69))</f>
      </c>
      <c r="AZ69" t="s">
        <v>270</v>
      </c>
    </row>
    <row r="70" spans="1:52" x14ac:dyDescent="0.25">
      <c r="R70" s="1"/>
      <c r="S70" s="1"/>
      <c r="T70" s="1"/>
      <c r="U70" s="1"/>
      <c r="V70" s="1">
        <f>IF($R70="","",TRIM(MID($R70,FIND(" - ",$R70)+3,LEN($R70))))</f>
      </c>
      <c r="W70" s="1"/>
      <c r="AC70" s="8" t="str">
        <f>IF(AND(AA70&lt;&gt;"",AB70&lt;&gt;""),AA70-AB70,IF(AA70&lt;&gt;"",AA70,""))</f>
        <v/>
      </c>
      <c r="AE70" s="8" t="str">
        <f>IF(AND(Z70&lt;&gt;"",AD70&lt;&gt;""),Z70*AD70,"")</f>
        <v/>
      </c>
      <c r="AI70" s="2"/>
      <c r="AJ70" s="3" t="str">
        <f>IF(AI70=18%,ROUND((AC70+AM70)*0.18,2),"")</f>
        <v/>
      </c>
      <c r="AK70" s="3" t="str">
        <f>IF(AI70=25%,ROUND((AC70+AM70)*0.25,2),"")</f>
        <v/>
      </c>
      <c r="AL70" s="9">
        <f>IF(OR($AC70="",$AD70=""),"",IFERROR($AC70/$AD70,0))</f>
      </c>
      <c r="AM70">
        <f>IF($AC70="","",
IF($S70="","",
IF(ISNUMBER(SEARCH("exempt",LOWER($S70))),0,
$AC70*(VALUE(SUBSTITUTE($S70,"%",""))/100))))</f>
      </c>
      <c r="AS70">
        <f>IF($AC70="","",
SUM($AC70,$AM70,$AQ70,$AN70,$AP70,$AO70,$AR70))</f>
      </c>
      <c r="AZ70" t="s">
        <v>271</v>
      </c>
    </row>
    <row r="71" spans="1:52" x14ac:dyDescent="0.25">
      <c r="R71" s="1"/>
      <c r="S71" s="1"/>
      <c r="T71" s="1"/>
      <c r="U71" s="1"/>
      <c r="V71" s="1">
        <f>IF($R71="","",TRIM(MID($R71,FIND(" - ",$R71)+3,LEN($R71))))</f>
      </c>
      <c r="W71" s="1"/>
      <c r="AC71" s="8" t="str">
        <f>IF(AND(AA71&lt;&gt;"",AB71&lt;&gt;""),AA71-AB71,IF(AA71&lt;&gt;"",AA71,""))</f>
        <v/>
      </c>
      <c r="AE71" s="8" t="str">
        <f>IF(AND(Z71&lt;&gt;"",AD71&lt;&gt;""),Z71*AD71,"")</f>
        <v/>
      </c>
      <c r="AI71" s="2"/>
      <c r="AJ71" s="3" t="str">
        <f>IF(AI71=18%,ROUND((AC71+AM71)*0.18,2),"")</f>
        <v/>
      </c>
      <c r="AK71" s="3" t="str">
        <f>IF(AI71=25%,ROUND((AC71+AM71)*0.25,2),"")</f>
        <v/>
      </c>
      <c r="AL71" s="9">
        <f>IF(OR($AC71="",$AD71=""),"",IFERROR($AC71/$AD71,0))</f>
      </c>
      <c r="AM71">
        <f>IF($AC71="","",
IF($S71="","",
IF(ISNUMBER(SEARCH("exempt",LOWER($S71))),0,
$AC71*(VALUE(SUBSTITUTE($S71,"%",""))/100))))</f>
      </c>
      <c r="AS71">
        <f>IF($AC71="","",
SUM($AC71,$AM71,$AQ71,$AN71,$AP71,$AO71,$AR71))</f>
      </c>
      <c r="AZ71" t="s">
        <v>272</v>
      </c>
    </row>
    <row r="72" spans="1:52" x14ac:dyDescent="0.25">
      <c r="R72" s="1"/>
      <c r="S72" s="1"/>
      <c r="T72" s="1"/>
      <c r="U72" s="1"/>
      <c r="V72" s="1">
        <f>IF($R72="","",TRIM(MID($R72,FIND(" - ",$R72)+3,LEN($R72))))</f>
      </c>
      <c r="W72" s="1"/>
      <c r="AC72" s="8" t="str">
        <f>IF(AND(AA72&lt;&gt;"",AB72&lt;&gt;""),AA72-AB72,IF(AA72&lt;&gt;"",AA72,""))</f>
        <v/>
      </c>
      <c r="AE72" s="8" t="str">
        <f>IF(AND(Z72&lt;&gt;"",AD72&lt;&gt;""),Z72*AD72,"")</f>
        <v/>
      </c>
      <c r="AI72" s="2"/>
      <c r="AJ72" s="3" t="str">
        <f>IF(AI72=18%,ROUND((AC72+AM72)*0.18,2),"")</f>
        <v/>
      </c>
      <c r="AK72" s="3" t="str">
        <f>IF(AI72=25%,ROUND((AC72+AM72)*0.25,2),"")</f>
        <v/>
      </c>
      <c r="AL72" s="9">
        <f>IF(OR($AC72="",$AD72=""),"",IFERROR($AC72/$AD72,0))</f>
      </c>
      <c r="AM72">
        <f>IF($AC72="","",
IF($S72="","",
IF(ISNUMBER(SEARCH("exempt",LOWER($S72))),0,
$AC72*(VALUE(SUBSTITUTE($S72,"%",""))/100))))</f>
      </c>
      <c r="AS72">
        <f>IF($AC72="","",
SUM($AC72,$AM72,$AQ72,$AN72,$AP72,$AO72,$AR72))</f>
      </c>
      <c r="AZ72" t="s">
        <v>273</v>
      </c>
    </row>
    <row r="73" spans="1:52" x14ac:dyDescent="0.25">
      <c r="R73" s="1"/>
      <c r="S73" s="1"/>
      <c r="T73" s="1"/>
      <c r="U73" s="1"/>
      <c r="V73" s="1">
        <f>IF($R73="","",TRIM(MID($R73,FIND(" - ",$R73)+3,LEN($R73))))</f>
      </c>
      <c r="W73" s="1"/>
      <c r="AC73" s="8" t="str">
        <f>IF(AND(AA73&lt;&gt;"",AB73&lt;&gt;""),AA73-AB73,IF(AA73&lt;&gt;"",AA73,""))</f>
        <v/>
      </c>
      <c r="AE73" s="8" t="str">
        <f>IF(AND(Z73&lt;&gt;"",AD73&lt;&gt;""),Z73*AD73,"")</f>
        <v/>
      </c>
      <c r="AI73" s="2"/>
      <c r="AJ73" s="3" t="str">
        <f>IF(AI73=18%,ROUND((AC73+AM73)*0.18,2),"")</f>
        <v/>
      </c>
      <c r="AK73" s="3" t="str">
        <f>IF(AI73=25%,ROUND((AC73+AM73)*0.25,2),"")</f>
        <v/>
      </c>
      <c r="AL73" s="9">
        <f>IF(OR($AC73="",$AD73=""),"",IFERROR($AC73/$AD73,0))</f>
      </c>
      <c r="AM73">
        <f>IF($AC73="","",
IF($S73="","",
IF(ISNUMBER(SEARCH("exempt",LOWER($S73))),0,
$AC73*(VALUE(SUBSTITUTE($S73,"%",""))/100))))</f>
      </c>
      <c r="AS73">
        <f>IF($AC73="","",
SUM($AC73,$AM73,$AQ73,$AN73,$AP73,$AO73,$AR73))</f>
      </c>
      <c r="AZ73" t="s">
        <v>274</v>
      </c>
    </row>
    <row r="74" spans="1:52" x14ac:dyDescent="0.25">
      <c r="R74" s="1"/>
      <c r="S74" s="1"/>
      <c r="T74" s="1"/>
      <c r="U74" s="1"/>
      <c r="V74" s="1">
        <f>IF($R74="","",TRIM(MID($R74,FIND(" - ",$R74)+3,LEN($R74))))</f>
      </c>
      <c r="W74" s="1"/>
      <c r="AC74" s="8" t="str">
        <f>IF(AND(AA74&lt;&gt;"",AB74&lt;&gt;""),AA74-AB74,IF(AA74&lt;&gt;"",AA74,""))</f>
        <v/>
      </c>
      <c r="AE74" s="8" t="str">
        <f>IF(AND(Z74&lt;&gt;"",AD74&lt;&gt;""),Z74*AD74,"")</f>
        <v/>
      </c>
      <c r="AI74" s="2"/>
      <c r="AJ74" s="3" t="str">
        <f>IF(AI74=18%,ROUND((AC74+AM74)*0.18,2),"")</f>
        <v/>
      </c>
      <c r="AK74" s="3" t="str">
        <f>IF(AI74=25%,ROUND((AC74+AM74)*0.25,2),"")</f>
        <v/>
      </c>
      <c r="AL74" s="9">
        <f>IF(OR($AC74="",$AD74=""),"",IFERROR($AC74/$AD74,0))</f>
      </c>
      <c r="AM74">
        <f>IF($AC74="","",
IF($S74="","",
IF(ISNUMBER(SEARCH("exempt",LOWER($S74))),0,
$AC74*(VALUE(SUBSTITUTE($S74,"%",""))/100))))</f>
      </c>
      <c r="AS74">
        <f>IF($AC74="","",
SUM($AC74,$AM74,$AQ74,$AN74,$AP74,$AO74,$AR74))</f>
      </c>
      <c r="AZ74" t="s">
        <v>275</v>
      </c>
    </row>
    <row r="75" spans="1:52" x14ac:dyDescent="0.25">
      <c r="R75" s="1"/>
      <c r="S75" s="1"/>
      <c r="T75" s="1"/>
      <c r="U75" s="1"/>
      <c r="V75" s="1">
        <f>IF($R75="","",TRIM(MID($R75,FIND(" - ",$R75)+3,LEN($R75))))</f>
      </c>
      <c r="W75" s="1"/>
      <c r="AC75" s="8" t="str">
        <f>IF(AND(AA75&lt;&gt;"",AB75&lt;&gt;""),AA75-AB75,IF(AA75&lt;&gt;"",AA75,""))</f>
        <v/>
      </c>
      <c r="AE75" s="8" t="str">
        <f>IF(AND(Z75&lt;&gt;"",AD75&lt;&gt;""),Z75*AD75,"")</f>
        <v/>
      </c>
      <c r="AI75" s="2"/>
      <c r="AJ75" s="3" t="str">
        <f>IF(AI75=18%,ROUND((AC75+AM75)*0.18,2),"")</f>
        <v/>
      </c>
      <c r="AK75" s="3" t="str">
        <f>IF(AI75=25%,ROUND((AC75+AM75)*0.25,2),"")</f>
        <v/>
      </c>
      <c r="AL75" s="9">
        <f>IF(OR($AC75="",$AD75=""),"",IFERROR($AC75/$AD75,0))</f>
      </c>
      <c r="AM75">
        <f>IF($AC75="","",
IF($S75="","",
IF(ISNUMBER(SEARCH("exempt",LOWER($S75))),0,
$AC75*(VALUE(SUBSTITUTE($S75,"%",""))/100))))</f>
      </c>
      <c r="AS75">
        <f>IF($AC75="","",
SUM($AC75,$AM75,$AQ75,$AN75,$AP75,$AO75,$AR75))</f>
      </c>
      <c r="AZ75" t="s">
        <v>276</v>
      </c>
    </row>
    <row r="76" spans="1:52" x14ac:dyDescent="0.25">
      <c r="R76" s="1"/>
      <c r="S76" s="1"/>
      <c r="T76" s="1"/>
      <c r="U76" s="1"/>
      <c r="V76" s="1">
        <f>IF($R76="","",TRIM(MID($R76,FIND(" - ",$R76)+3,LEN($R76))))</f>
      </c>
      <c r="W76" s="1"/>
      <c r="AC76" s="8" t="str">
        <f>IF(AND(AA76&lt;&gt;"",AB76&lt;&gt;""),AA76-AB76,IF(AA76&lt;&gt;"",AA76,""))</f>
        <v/>
      </c>
      <c r="AE76" s="8" t="str">
        <f>IF(AND(Z76&lt;&gt;"",AD76&lt;&gt;""),Z76*AD76,"")</f>
        <v/>
      </c>
      <c r="AI76" s="2"/>
      <c r="AJ76" s="3" t="str">
        <f>IF(AI76=18%,ROUND((AC76+AM76)*0.18,2),"")</f>
        <v/>
      </c>
      <c r="AK76" s="3" t="str">
        <f>IF(AI76=25%,ROUND((AC76+AM76)*0.25,2),"")</f>
        <v/>
      </c>
      <c r="AL76" s="9">
        <f>IF(OR($AC76="",$AD76=""),"",IFERROR($AC76/$AD76,0))</f>
      </c>
      <c r="AM76">
        <f>IF($AC76="","",
IF($S76="","",
IF(ISNUMBER(SEARCH("exempt",LOWER($S76))),0,
$AC76*(VALUE(SUBSTITUTE($S76,"%",""))/100))))</f>
      </c>
      <c r="AS76">
        <f>IF($AC76="","",
SUM($AC76,$AM76,$AQ76,$AN76,$AP76,$AO76,$AR76))</f>
      </c>
      <c r="AZ76" t="s">
        <v>277</v>
      </c>
    </row>
    <row r="77" spans="1:52" x14ac:dyDescent="0.25">
      <c r="R77" s="1"/>
      <c r="S77" s="1"/>
      <c r="T77" s="1"/>
      <c r="U77" s="1"/>
      <c r="V77" s="1">
        <f>IF($R77="","",TRIM(MID($R77,FIND(" - ",$R77)+3,LEN($R77))))</f>
      </c>
      <c r="W77" s="1"/>
      <c r="AC77" s="8" t="str">
        <f>IF(AND(AA77&lt;&gt;"",AB77&lt;&gt;""),AA77-AB77,IF(AA77&lt;&gt;"",AA77,""))</f>
        <v/>
      </c>
      <c r="AE77" s="8" t="str">
        <f>IF(AND(Z77&lt;&gt;"",AD77&lt;&gt;""),Z77*AD77,"")</f>
        <v/>
      </c>
      <c r="AI77" s="2"/>
      <c r="AJ77" s="3" t="str">
        <f>IF(AI77=18%,ROUND((AC77+AM77)*0.18,2),"")</f>
        <v/>
      </c>
      <c r="AK77" s="3" t="str">
        <f>IF(AI77=25%,ROUND((AC77+AM77)*0.25,2),"")</f>
        <v/>
      </c>
      <c r="AL77" s="9">
        <f>IF(OR($AC77="",$AD77=""),"",IFERROR($AC77/$AD77,0))</f>
      </c>
      <c r="AM77">
        <f>IF($AC77="","",
IF($S77="","",
IF(ISNUMBER(SEARCH("exempt",LOWER($S77))),0,
$AC77*(VALUE(SUBSTITUTE($S77,"%",""))/100))))</f>
      </c>
      <c r="AS77">
        <f>IF($AC77="","",
SUM($AC77,$AM77,$AQ77,$AN77,$AP77,$AO77,$AR77))</f>
      </c>
      <c r="AZ77" t="s">
        <v>278</v>
      </c>
    </row>
    <row r="78" spans="1:52" x14ac:dyDescent="0.25">
      <c r="R78" s="1"/>
      <c r="S78" s="1"/>
      <c r="T78" s="1"/>
      <c r="U78" s="1"/>
      <c r="V78" s="1">
        <f>IF($R78="","",TRIM(MID($R78,FIND(" - ",$R78)+3,LEN($R78))))</f>
      </c>
      <c r="W78" s="1"/>
      <c r="AC78" s="8" t="str">
        <f>IF(AND(AA78&lt;&gt;"",AB78&lt;&gt;""),AA78-AB78,IF(AA78&lt;&gt;"",AA78,""))</f>
        <v/>
      </c>
      <c r="AE78" s="8" t="str">
        <f>IF(AND(Z78&lt;&gt;"",AD78&lt;&gt;""),Z78*AD78,"")</f>
        <v/>
      </c>
      <c r="AI78" s="2"/>
      <c r="AJ78" s="3" t="str">
        <f>IF(AI78=18%,ROUND((AC78+AM78)*0.18,2),"")</f>
        <v/>
      </c>
      <c r="AK78" s="3" t="str">
        <f>IF(AI78=25%,ROUND((AC78+AM78)*0.25,2),"")</f>
        <v/>
      </c>
      <c r="AL78" s="9">
        <f>IF(OR($AC78="",$AD78=""),"",IFERROR($AC78/$AD78,0))</f>
      </c>
      <c r="AM78">
        <f>IF($AC78="","",
IF($S78="","",
IF(ISNUMBER(SEARCH("exempt",LOWER($S78))),0,
$AC78*(VALUE(SUBSTITUTE($S78,"%",""))/100))))</f>
      </c>
      <c r="AS78">
        <f>IF($AC78="","",
SUM($AC78,$AM78,$AQ78,$AN78,$AP78,$AO78,$AR78))</f>
      </c>
      <c r="AZ78" t="s">
        <v>279</v>
      </c>
    </row>
    <row r="79" spans="1:52" x14ac:dyDescent="0.25">
      <c r="R79" s="1"/>
      <c r="S79" s="1"/>
      <c r="T79" s="1"/>
      <c r="U79" s="1"/>
      <c r="V79" s="1">
        <f>IF($R79="","",TRIM(MID($R79,FIND(" - ",$R79)+3,LEN($R79))))</f>
      </c>
      <c r="W79" s="1"/>
      <c r="AC79" s="8" t="str">
        <f>IF(AND(AA79&lt;&gt;"",AB79&lt;&gt;""),AA79-AB79,IF(AA79&lt;&gt;"",AA79,""))</f>
        <v/>
      </c>
      <c r="AE79" s="8" t="str">
        <f>IF(AND(Z79&lt;&gt;"",AD79&lt;&gt;""),Z79*AD79,"")</f>
        <v/>
      </c>
      <c r="AI79" s="2"/>
      <c r="AJ79" s="3" t="str">
        <f>IF(AI79=18%,ROUND((AC79+AM79)*0.18,2),"")</f>
        <v/>
      </c>
      <c r="AK79" s="3" t="str">
        <f>IF(AI79=25%,ROUND((AC79+AM79)*0.25,2),"")</f>
        <v/>
      </c>
      <c r="AL79" s="9">
        <f>IF(OR($AC79="",$AD79=""),"",IFERROR($AC79/$AD79,0))</f>
      </c>
      <c r="AM79">
        <f>IF($AC79="","",
IF($S79="","",
IF(ISNUMBER(SEARCH("exempt",LOWER($S79))),0,
$AC79*(VALUE(SUBSTITUTE($S79,"%",""))/100))))</f>
      </c>
      <c r="AS79">
        <f>IF($AC79="","",
SUM($AC79,$AM79,$AQ79,$AN79,$AP79,$AO79,$AR79))</f>
      </c>
      <c r="AZ79" t="s">
        <v>280</v>
      </c>
    </row>
    <row r="80" spans="1:52" x14ac:dyDescent="0.25">
      <c r="R80" s="1"/>
      <c r="S80" s="1"/>
      <c r="T80" s="1"/>
      <c r="U80" s="1"/>
      <c r="V80" s="1">
        <f>IF($R80="","",TRIM(MID($R80,FIND(" - ",$R80)+3,LEN($R80))))</f>
      </c>
      <c r="W80" s="1"/>
      <c r="AC80" s="8" t="str">
        <f>IF(AND(AA80&lt;&gt;"",AB80&lt;&gt;""),AA80-AB80,IF(AA80&lt;&gt;"",AA80,""))</f>
        <v/>
      </c>
      <c r="AE80" s="8" t="str">
        <f>IF(AND(Z80&lt;&gt;"",AD80&lt;&gt;""),Z80*AD80,"")</f>
        <v/>
      </c>
      <c r="AI80" s="2"/>
      <c r="AJ80" s="3" t="str">
        <f>IF(AI80=18%,ROUND((AC80+AM80)*0.18,2),"")</f>
        <v/>
      </c>
      <c r="AK80" s="3" t="str">
        <f>IF(AI80=25%,ROUND((AC80+AM80)*0.25,2),"")</f>
        <v/>
      </c>
      <c r="AL80" s="9">
        <f>IF(OR($AC80="",$AD80=""),"",IFERROR($AC80/$AD80,0))</f>
      </c>
      <c r="AM80">
        <f>IF($AC80="","",
IF($S80="","",
IF(ISNUMBER(SEARCH("exempt",LOWER($S80))),0,
$AC80*(VALUE(SUBSTITUTE($S80,"%",""))/100))))</f>
      </c>
      <c r="AS80">
        <f>IF($AC80="","",
SUM($AC80,$AM80,$AQ80,$AN80,$AP80,$AO80,$AR80))</f>
      </c>
      <c r="AZ80" t="s">
        <v>281</v>
      </c>
    </row>
    <row r="81" spans="1:52" x14ac:dyDescent="0.25">
      <c r="R81" s="1"/>
      <c r="S81" s="1"/>
      <c r="T81" s="1"/>
      <c r="U81" s="1"/>
      <c r="V81" s="1">
        <f>IF($R81="","",TRIM(MID($R81,FIND(" - ",$R81)+3,LEN($R81))))</f>
      </c>
      <c r="W81" s="1"/>
      <c r="AC81" s="8" t="str">
        <f>IF(AND(AA81&lt;&gt;"",AB81&lt;&gt;""),AA81-AB81,IF(AA81&lt;&gt;"",AA81,""))</f>
        <v/>
      </c>
      <c r="AE81" s="8" t="str">
        <f>IF(AND(Z81&lt;&gt;"",AD81&lt;&gt;""),Z81*AD81,"")</f>
        <v/>
      </c>
      <c r="AI81" s="2"/>
      <c r="AJ81" s="3" t="str">
        <f>IF(AI81=18%,ROUND((AC81+AM81)*0.18,2),"")</f>
        <v/>
      </c>
      <c r="AK81" s="3" t="str">
        <f>IF(AI81=25%,ROUND((AC81+AM81)*0.25,2),"")</f>
        <v/>
      </c>
      <c r="AL81" s="9">
        <f>IF(OR($AC81="",$AD81=""),"",IFERROR($AC81/$AD81,0))</f>
      </c>
      <c r="AM81">
        <f>IF($AC81="","",
IF($S81="","",
IF(ISNUMBER(SEARCH("exempt",LOWER($S81))),0,
$AC81*(VALUE(SUBSTITUTE($S81,"%",""))/100))))</f>
      </c>
      <c r="AS81">
        <f>IF($AC81="","",
SUM($AC81,$AM81,$AQ81,$AN81,$AP81,$AO81,$AR81))</f>
      </c>
      <c r="AZ81" t="s">
        <v>282</v>
      </c>
    </row>
    <row r="82" spans="1:52" x14ac:dyDescent="0.25">
      <c r="R82" s="1"/>
      <c r="S82" s="1"/>
      <c r="T82" s="1"/>
      <c r="U82" s="1"/>
      <c r="V82" s="1">
        <f>IF($R82="","",TRIM(MID($R82,FIND(" - ",$R82)+3,LEN($R82))))</f>
      </c>
      <c r="W82" s="1"/>
      <c r="AC82" s="8" t="str">
        <f>IF(AND(AA82&lt;&gt;"",AB82&lt;&gt;""),AA82-AB82,IF(AA82&lt;&gt;"",AA82,""))</f>
        <v/>
      </c>
      <c r="AE82" s="8" t="str">
        <f>IF(AND(Z82&lt;&gt;"",AD82&lt;&gt;""),Z82*AD82,"")</f>
        <v/>
      </c>
      <c r="AI82" s="2"/>
      <c r="AJ82" s="3" t="str">
        <f>IF(AI82=18%,ROUND((AC82+AM82)*0.18,2),"")</f>
        <v/>
      </c>
      <c r="AK82" s="3" t="str">
        <f>IF(AI82=25%,ROUND((AC82+AM82)*0.25,2),"")</f>
        <v/>
      </c>
      <c r="AL82" s="9">
        <f>IF(OR($AC82="",$AD82=""),"",IFERROR($AC82/$AD82,0))</f>
      </c>
      <c r="AM82">
        <f>IF($AC82="","",
IF($S82="","",
IF(ISNUMBER(SEARCH("exempt",LOWER($S82))),0,
$AC82*(VALUE(SUBSTITUTE($S82,"%",""))/100))))</f>
      </c>
      <c r="AS82">
        <f>IF($AC82="","",
SUM($AC82,$AM82,$AQ82,$AN82,$AP82,$AO82,$AR82))</f>
      </c>
      <c r="AZ82" t="s">
        <v>283</v>
      </c>
    </row>
    <row r="83" spans="1:52" x14ac:dyDescent="0.25">
      <c r="R83" s="1"/>
      <c r="S83" s="1"/>
      <c r="T83" s="1"/>
      <c r="U83" s="1"/>
      <c r="V83" s="1">
        <f>IF($R83="","",TRIM(MID($R83,FIND(" - ",$R83)+3,LEN($R83))))</f>
      </c>
      <c r="W83" s="1"/>
      <c r="AC83" s="8" t="str">
        <f>IF(AND(AA83&lt;&gt;"",AB83&lt;&gt;""),AA83-AB83,IF(AA83&lt;&gt;"",AA83,""))</f>
        <v/>
      </c>
      <c r="AE83" s="8" t="str">
        <f>IF(AND(Z83&lt;&gt;"",AD83&lt;&gt;""),Z83*AD83,"")</f>
        <v/>
      </c>
      <c r="AI83" s="2"/>
      <c r="AJ83" s="3" t="str">
        <f>IF(AI83=18%,ROUND((AC83+AM83)*0.18,2),"")</f>
        <v/>
      </c>
      <c r="AK83" s="3" t="str">
        <f>IF(AI83=25%,ROUND((AC83+AM83)*0.25,2),"")</f>
        <v/>
      </c>
      <c r="AL83" s="9">
        <f>IF(OR($AC83="",$AD83=""),"",IFERROR($AC83/$AD83,0))</f>
      </c>
      <c r="AM83">
        <f>IF($AC83="","",
IF($S83="","",
IF(ISNUMBER(SEARCH("exempt",LOWER($S83))),0,
$AC83*(VALUE(SUBSTITUTE($S83,"%",""))/100))))</f>
      </c>
      <c r="AS83">
        <f>IF($AC83="","",
SUM($AC83,$AM83,$AQ83,$AN83,$AP83,$AO83,$AR83))</f>
      </c>
      <c r="AZ83" t="s">
        <v>284</v>
      </c>
    </row>
    <row r="84" spans="1:52" x14ac:dyDescent="0.25">
      <c r="R84" s="1"/>
      <c r="S84" s="1"/>
      <c r="T84" s="1"/>
      <c r="U84" s="1"/>
      <c r="V84" s="1">
        <f>IF($R84="","",TRIM(MID($R84,FIND(" - ",$R84)+3,LEN($R84))))</f>
      </c>
      <c r="W84" s="1"/>
      <c r="AC84" s="8" t="str">
        <f>IF(AND(AA84&lt;&gt;"",AB84&lt;&gt;""),AA84-AB84,IF(AA84&lt;&gt;"",AA84,""))</f>
        <v/>
      </c>
      <c r="AE84" s="8" t="str">
        <f>IF(AND(Z84&lt;&gt;"",AD84&lt;&gt;""),Z84*AD84,"")</f>
        <v/>
      </c>
      <c r="AI84" s="2"/>
      <c r="AJ84" s="3" t="str">
        <f>IF(AI84=18%,ROUND((AC84+AM84)*0.18,2),"")</f>
        <v/>
      </c>
      <c r="AK84" s="3" t="str">
        <f>IF(AI84=25%,ROUND((AC84+AM84)*0.25,2),"")</f>
        <v/>
      </c>
      <c r="AL84" s="9">
        <f>IF(OR($AC84="",$AD84=""),"",IFERROR($AC84/$AD84,0))</f>
      </c>
      <c r="AM84">
        <f>IF($AC84="","",
IF($S84="","",
IF(ISNUMBER(SEARCH("exempt",LOWER($S84))),0,
$AC84*(VALUE(SUBSTITUTE($S84,"%",""))/100))))</f>
      </c>
      <c r="AS84">
        <f>IF($AC84="","",
SUM($AC84,$AM84,$AQ84,$AN84,$AP84,$AO84,$AR84))</f>
      </c>
      <c r="AZ84" t="s">
        <v>285</v>
      </c>
    </row>
    <row r="85" spans="1:52" x14ac:dyDescent="0.25">
      <c r="R85" s="1"/>
      <c r="S85" s="1"/>
      <c r="T85" s="1"/>
      <c r="U85" s="1"/>
      <c r="V85" s="1">
        <f>IF($R85="","",TRIM(MID($R85,FIND(" - ",$R85)+3,LEN($R85))))</f>
      </c>
      <c r="W85" s="1"/>
      <c r="AC85" s="8" t="str">
        <f>IF(AND(AA85&lt;&gt;"",AB85&lt;&gt;""),AA85-AB85,IF(AA85&lt;&gt;"",AA85,""))</f>
        <v/>
      </c>
      <c r="AE85" s="8" t="str">
        <f>IF(AND(Z85&lt;&gt;"",AD85&lt;&gt;""),Z85*AD85,"")</f>
        <v/>
      </c>
      <c r="AI85" s="2"/>
      <c r="AJ85" s="3" t="str">
        <f>IF(AI85=18%,ROUND((AC85+AM85)*0.18,2),"")</f>
        <v/>
      </c>
      <c r="AK85" s="3" t="str">
        <f>IF(AI85=25%,ROUND((AC85+AM85)*0.25,2),"")</f>
        <v/>
      </c>
      <c r="AL85" s="9">
        <f>IF(OR($AC85="",$AD85=""),"",IFERROR($AC85/$AD85,0))</f>
      </c>
      <c r="AM85">
        <f>IF($AC85="","",
IF($S85="","",
IF(ISNUMBER(SEARCH("exempt",LOWER($S85))),0,
$AC85*(VALUE(SUBSTITUTE($S85,"%",""))/100))))</f>
      </c>
      <c r="AS85">
        <f>IF($AC85="","",
SUM($AC85,$AM85,$AQ85,$AN85,$AP85,$AO85,$AR85))</f>
      </c>
      <c r="AZ85" t="s">
        <v>286</v>
      </c>
    </row>
    <row r="86" spans="1:52" x14ac:dyDescent="0.25">
      <c r="R86" s="1"/>
      <c r="S86" s="1"/>
      <c r="T86" s="1"/>
      <c r="U86" s="1"/>
      <c r="V86" s="1">
        <f>IF($R86="","",TRIM(MID($R86,FIND(" - ",$R86)+3,LEN($R86))))</f>
      </c>
      <c r="W86" s="1"/>
      <c r="AC86" s="8" t="str">
        <f>IF(AND(AA86&lt;&gt;"",AB86&lt;&gt;""),AA86-AB86,IF(AA86&lt;&gt;"",AA86,""))</f>
        <v/>
      </c>
      <c r="AE86" s="8" t="str">
        <f>IF(AND(Z86&lt;&gt;"",AD86&lt;&gt;""),Z86*AD86,"")</f>
        <v/>
      </c>
      <c r="AI86" s="2"/>
      <c r="AJ86" s="3" t="str">
        <f>IF(AI86=18%,ROUND((AC86+AM86)*0.18,2),"")</f>
        <v/>
      </c>
      <c r="AK86" s="3" t="str">
        <f>IF(AI86=25%,ROUND((AC86+AM86)*0.25,2),"")</f>
        <v/>
      </c>
      <c r="AL86" s="9">
        <f>IF(OR($AC86="",$AD86=""),"",IFERROR($AC86/$AD86,0))</f>
      </c>
      <c r="AM86">
        <f>IF($AC86="","",
IF($S86="","",
IF(ISNUMBER(SEARCH("exempt",LOWER($S86))),0,
$AC86*(VALUE(SUBSTITUTE($S86,"%",""))/100))))</f>
      </c>
      <c r="AS86">
        <f>IF($AC86="","",
SUM($AC86,$AM86,$AQ86,$AN86,$AP86,$AO86,$AR86))</f>
      </c>
      <c r="AZ86" t="s">
        <v>287</v>
      </c>
    </row>
    <row r="87" spans="1:52" x14ac:dyDescent="0.25">
      <c r="R87" s="1"/>
      <c r="S87" s="1"/>
      <c r="T87" s="1"/>
      <c r="U87" s="1"/>
      <c r="V87" s="1">
        <f>IF($R87="","",TRIM(MID($R87,FIND(" - ",$R87)+3,LEN($R87))))</f>
      </c>
      <c r="W87" s="1"/>
      <c r="AC87" s="8" t="str">
        <f>IF(AND(AA87&lt;&gt;"",AB87&lt;&gt;""),AA87-AB87,IF(AA87&lt;&gt;"",AA87,""))</f>
        <v/>
      </c>
      <c r="AE87" s="8" t="str">
        <f>IF(AND(Z87&lt;&gt;"",AD87&lt;&gt;""),Z87*AD87,"")</f>
        <v/>
      </c>
      <c r="AI87" s="2"/>
      <c r="AJ87" s="3" t="str">
        <f>IF(AI87=18%,ROUND((AC87+AM87)*0.18,2),"")</f>
        <v/>
      </c>
      <c r="AK87" s="3" t="str">
        <f>IF(AI87=25%,ROUND((AC87+AM87)*0.25,2),"")</f>
        <v/>
      </c>
      <c r="AL87" s="9">
        <f>IF(OR($AC87="",$AD87=""),"",IFERROR($AC87/$AD87,0))</f>
      </c>
      <c r="AM87">
        <f>IF($AC87="","",
IF($S87="","",
IF(ISNUMBER(SEARCH("exempt",LOWER($S87))),0,
$AC87*(VALUE(SUBSTITUTE($S87,"%",""))/100))))</f>
      </c>
      <c r="AS87">
        <f>IF($AC87="","",
SUM($AC87,$AM87,$AQ87,$AN87,$AP87,$AO87,$AR87))</f>
      </c>
      <c r="AZ87" t="s">
        <v>288</v>
      </c>
    </row>
    <row r="88" spans="1:52" x14ac:dyDescent="0.25">
      <c r="R88" s="1"/>
      <c r="S88" s="1"/>
      <c r="T88" s="1"/>
      <c r="U88" s="1"/>
      <c r="V88" s="1">
        <f>IF($R88="","",TRIM(MID($R88,FIND(" - ",$R88)+3,LEN($R88))))</f>
      </c>
      <c r="W88" s="1"/>
      <c r="AC88" s="8" t="str">
        <f>IF(AND(AA88&lt;&gt;"",AB88&lt;&gt;""),AA88-AB88,IF(AA88&lt;&gt;"",AA88,""))</f>
        <v/>
      </c>
      <c r="AE88" s="8" t="str">
        <f>IF(AND(Z88&lt;&gt;"",AD88&lt;&gt;""),Z88*AD88,"")</f>
        <v/>
      </c>
      <c r="AI88" s="2"/>
      <c r="AJ88" s="3" t="str">
        <f>IF(AI88=18%,ROUND((AC88+AM88)*0.18,2),"")</f>
        <v/>
      </c>
      <c r="AK88" s="3" t="str">
        <f>IF(AI88=25%,ROUND((AC88+AM88)*0.25,2),"")</f>
        <v/>
      </c>
      <c r="AL88" s="9">
        <f>IF(OR($AC88="",$AD88=""),"",IFERROR($AC88/$AD88,0))</f>
      </c>
      <c r="AM88">
        <f>IF($AC88="","",
IF($S88="","",
IF(ISNUMBER(SEARCH("exempt",LOWER($S88))),0,
$AC88*(VALUE(SUBSTITUTE($S88,"%",""))/100))))</f>
      </c>
      <c r="AS88">
        <f>IF($AC88="","",
SUM($AC88,$AM88,$AQ88,$AN88,$AP88,$AO88,$AR88))</f>
      </c>
      <c r="AZ88" t="s">
        <v>289</v>
      </c>
    </row>
    <row r="89" spans="1:52" x14ac:dyDescent="0.25">
      <c r="R89" s="1"/>
      <c r="S89" s="1"/>
      <c r="T89" s="1"/>
      <c r="U89" s="1"/>
      <c r="V89" s="1">
        <f>IF($R89="","",TRIM(MID($R89,FIND(" - ",$R89)+3,LEN($R89))))</f>
      </c>
      <c r="W89" s="1"/>
      <c r="AC89" s="8" t="str">
        <f>IF(AND(AA89&lt;&gt;"",AB89&lt;&gt;""),AA89-AB89,IF(AA89&lt;&gt;"",AA89,""))</f>
        <v/>
      </c>
      <c r="AE89" s="8" t="str">
        <f>IF(AND(Z89&lt;&gt;"",AD89&lt;&gt;""),Z89*AD89,"")</f>
        <v/>
      </c>
      <c r="AI89" s="2"/>
      <c r="AJ89" s="3" t="str">
        <f>IF(AI89=18%,ROUND((AC89+AM89)*0.18,2),"")</f>
        <v/>
      </c>
      <c r="AK89" s="3" t="str">
        <f>IF(AI89=25%,ROUND((AC89+AM89)*0.25,2),"")</f>
        <v/>
      </c>
      <c r="AL89" s="9">
        <f>IF(OR($AC89="",$AD89=""),"",IFERROR($AC89/$AD89,0))</f>
      </c>
      <c r="AM89">
        <f>IF($AC89="","",
IF($S89="","",
IF(ISNUMBER(SEARCH("exempt",LOWER($S89))),0,
$AC89*(VALUE(SUBSTITUTE($S89,"%",""))/100))))</f>
      </c>
      <c r="AS89">
        <f>IF($AC89="","",
SUM($AC89,$AM89,$AQ89,$AN89,$AP89,$AO89,$AR89))</f>
      </c>
      <c r="AZ89" t="s">
        <v>290</v>
      </c>
    </row>
    <row r="90" spans="1:52" x14ac:dyDescent="0.25">
      <c r="R90" s="1"/>
      <c r="S90" s="1"/>
      <c r="T90" s="1"/>
      <c r="U90" s="1"/>
      <c r="V90" s="1">
        <f>IF($R90="","",TRIM(MID($R90,FIND(" - ",$R90)+3,LEN($R90))))</f>
      </c>
      <c r="W90" s="1"/>
      <c r="AC90" s="8" t="str">
        <f>IF(AND(AA90&lt;&gt;"",AB90&lt;&gt;""),AA90-AB90,IF(AA90&lt;&gt;"",AA90,""))</f>
        <v/>
      </c>
      <c r="AE90" s="8" t="str">
        <f>IF(AND(Z90&lt;&gt;"",AD90&lt;&gt;""),Z90*AD90,"")</f>
        <v/>
      </c>
      <c r="AI90" s="2"/>
      <c r="AJ90" s="3" t="str">
        <f>IF(AI90=18%,ROUND((AC90+AM90)*0.18,2),"")</f>
        <v/>
      </c>
      <c r="AK90" s="3" t="str">
        <f>IF(AI90=25%,ROUND((AC90+AM90)*0.25,2),"")</f>
        <v/>
      </c>
      <c r="AL90" s="9">
        <f>IF(OR($AC90="",$AD90=""),"",IFERROR($AC90/$AD90,0))</f>
      </c>
      <c r="AM90">
        <f>IF($AC90="","",
IF($S90="","",
IF(ISNUMBER(SEARCH("exempt",LOWER($S90))),0,
$AC90*(VALUE(SUBSTITUTE($S90,"%",""))/100))))</f>
      </c>
      <c r="AS90">
        <f>IF($AC90="","",
SUM($AC90,$AM90,$AQ90,$AN90,$AP90,$AO90,$AR90))</f>
      </c>
      <c r="AZ90" t="s">
        <v>291</v>
      </c>
    </row>
    <row r="91" spans="1:52" x14ac:dyDescent="0.25">
      <c r="R91" s="1"/>
      <c r="S91" s="1"/>
      <c r="T91" s="1"/>
      <c r="U91" s="1"/>
      <c r="V91" s="1">
        <f>IF($R91="","",TRIM(MID($R91,FIND(" - ",$R91)+3,LEN($R91))))</f>
      </c>
      <c r="W91" s="1"/>
      <c r="AC91" s="8" t="str">
        <f>IF(AND(AA91&lt;&gt;"",AB91&lt;&gt;""),AA91-AB91,IF(AA91&lt;&gt;"",AA91,""))</f>
        <v/>
      </c>
      <c r="AE91" s="8" t="str">
        <f>IF(AND(Z91&lt;&gt;"",AD91&lt;&gt;""),Z91*AD91,"")</f>
        <v/>
      </c>
      <c r="AI91" s="2"/>
      <c r="AJ91" s="3" t="str">
        <f>IF(AI91=18%,ROUND((AC91+AM91)*0.18,2),"")</f>
        <v/>
      </c>
      <c r="AK91" s="3" t="str">
        <f>IF(AI91=25%,ROUND((AC91+AM91)*0.25,2),"")</f>
        <v/>
      </c>
      <c r="AL91" s="9">
        <f>IF(OR($AC91="",$AD91=""),"",IFERROR($AC91/$AD91,0))</f>
      </c>
      <c r="AM91">
        <f>IF($AC91="","",
IF($S91="","",
IF(ISNUMBER(SEARCH("exempt",LOWER($S91))),0,
$AC91*(VALUE(SUBSTITUTE($S91,"%",""))/100))))</f>
      </c>
      <c r="AS91">
        <f>IF($AC91="","",
SUM($AC91,$AM91,$AQ91,$AN91,$AP91,$AO91,$AR91))</f>
      </c>
      <c r="AZ91" t="s">
        <v>292</v>
      </c>
    </row>
    <row r="92" spans="1:52" x14ac:dyDescent="0.25">
      <c r="R92" s="1"/>
      <c r="S92" s="1"/>
      <c r="T92" s="1"/>
      <c r="U92" s="1"/>
      <c r="V92" s="1">
        <f>IF($R92="","",TRIM(MID($R92,FIND(" - ",$R92)+3,LEN($R92))))</f>
      </c>
      <c r="W92" s="1"/>
      <c r="AC92" s="8" t="str">
        <f>IF(AND(AA92&lt;&gt;"",AB92&lt;&gt;""),AA92-AB92,IF(AA92&lt;&gt;"",AA92,""))</f>
        <v/>
      </c>
      <c r="AE92" s="8" t="str">
        <f>IF(AND(Z92&lt;&gt;"",AD92&lt;&gt;""),Z92*AD92,"")</f>
        <v/>
      </c>
      <c r="AI92" s="2"/>
      <c r="AJ92" s="3" t="str">
        <f>IF(AI92=18%,ROUND((AC92+AM92)*0.18,2),"")</f>
        <v/>
      </c>
      <c r="AK92" s="3" t="str">
        <f>IF(AI92=25%,ROUND((AC92+AM92)*0.25,2),"")</f>
        <v/>
      </c>
      <c r="AL92" s="9">
        <f>IF(OR($AC92="",$AD92=""),"",IFERROR($AC92/$AD92,0))</f>
      </c>
      <c r="AM92">
        <f>IF($AC92="","",
IF($S92="","",
IF(ISNUMBER(SEARCH("exempt",LOWER($S92))),0,
$AC92*(VALUE(SUBSTITUTE($S92,"%",""))/100))))</f>
      </c>
      <c r="AS92">
        <f>IF($AC92="","",
SUM($AC92,$AM92,$AQ92,$AN92,$AP92,$AO92,$AR92))</f>
      </c>
      <c r="AZ92" t="s">
        <v>293</v>
      </c>
    </row>
    <row r="93" spans="1:52" x14ac:dyDescent="0.25">
      <c r="R93" s="1"/>
      <c r="S93" s="1"/>
      <c r="T93" s="1"/>
      <c r="U93" s="1"/>
      <c r="V93" s="1">
        <f>IF($R93="","",TRIM(MID($R93,FIND(" - ",$R93)+3,LEN($R93))))</f>
      </c>
      <c r="W93" s="1"/>
      <c r="AC93" s="8" t="str">
        <f>IF(AND(AA93&lt;&gt;"",AB93&lt;&gt;""),AA93-AB93,IF(AA93&lt;&gt;"",AA93,""))</f>
        <v/>
      </c>
      <c r="AE93" s="8" t="str">
        <f>IF(AND(Z93&lt;&gt;"",AD93&lt;&gt;""),Z93*AD93,"")</f>
        <v/>
      </c>
      <c r="AI93" s="2"/>
      <c r="AJ93" s="3" t="str">
        <f>IF(AI93=18%,ROUND((AC93+AM93)*0.18,2),"")</f>
        <v/>
      </c>
      <c r="AK93" s="3" t="str">
        <f>IF(AI93=25%,ROUND((AC93+AM93)*0.25,2),"")</f>
        <v/>
      </c>
      <c r="AL93" s="9">
        <f>IF(OR($AC93="",$AD93=""),"",IFERROR($AC93/$AD93,0))</f>
      </c>
      <c r="AM93">
        <f>IF($AC93="","",
IF($S93="","",
IF(ISNUMBER(SEARCH("exempt",LOWER($S93))),0,
$AC93*(VALUE(SUBSTITUTE($S93,"%",""))/100))))</f>
      </c>
      <c r="AS93">
        <f>IF($AC93="","",
SUM($AC93,$AM93,$AQ93,$AN93,$AP93,$AO93,$AR93))</f>
      </c>
      <c r="AZ93" t="s">
        <v>294</v>
      </c>
    </row>
    <row r="94" spans="1:52" x14ac:dyDescent="0.25">
      <c r="R94" s="1"/>
      <c r="S94" s="1"/>
      <c r="T94" s="1"/>
      <c r="U94" s="1"/>
      <c r="V94" s="1">
        <f>IF($R94="","",TRIM(MID($R94,FIND(" - ",$R94)+3,LEN($R94))))</f>
      </c>
      <c r="W94" s="1"/>
      <c r="AC94" s="8" t="str">
        <f>IF(AND(AA94&lt;&gt;"",AB94&lt;&gt;""),AA94-AB94,IF(AA94&lt;&gt;"",AA94,""))</f>
        <v/>
      </c>
      <c r="AE94" s="8" t="str">
        <f>IF(AND(Z94&lt;&gt;"",AD94&lt;&gt;""),Z94*AD94,"")</f>
        <v/>
      </c>
      <c r="AI94" s="2"/>
      <c r="AJ94" s="3" t="str">
        <f>IF(AI94=18%,ROUND((AC94+AM94)*0.18,2),"")</f>
        <v/>
      </c>
      <c r="AK94" s="3" t="str">
        <f>IF(AI94=25%,ROUND((AC94+AM94)*0.25,2),"")</f>
        <v/>
      </c>
      <c r="AL94" s="9">
        <f>IF(OR($AC94="",$AD94=""),"",IFERROR($AC94/$AD94,0))</f>
      </c>
      <c r="AM94">
        <f>IF($AC94="","",
IF($S94="","",
IF(ISNUMBER(SEARCH("exempt",LOWER($S94))),0,
$AC94*(VALUE(SUBSTITUTE($S94,"%",""))/100))))</f>
      </c>
      <c r="AS94">
        <f>IF($AC94="","",
SUM($AC94,$AM94,$AQ94,$AN94,$AP94,$AO94,$AR94))</f>
      </c>
      <c r="AZ94" t="s">
        <v>295</v>
      </c>
    </row>
    <row r="95" spans="1:52" x14ac:dyDescent="0.25">
      <c r="R95" s="1"/>
      <c r="S95" s="1"/>
      <c r="T95" s="1"/>
      <c r="U95" s="1"/>
      <c r="V95" s="1">
        <f>IF($R95="","",TRIM(MID($R95,FIND(" - ",$R95)+3,LEN($R95))))</f>
      </c>
      <c r="W95" s="1"/>
      <c r="AC95" s="8" t="str">
        <f>IF(AND(AA95&lt;&gt;"",AB95&lt;&gt;""),AA95-AB95,IF(AA95&lt;&gt;"",AA95,""))</f>
        <v/>
      </c>
      <c r="AE95" s="8" t="str">
        <f>IF(AND(Z95&lt;&gt;"",AD95&lt;&gt;""),Z95*AD95,"")</f>
        <v/>
      </c>
      <c r="AI95" s="2"/>
      <c r="AJ95" s="3" t="str">
        <f>IF(AI95=18%,ROUND((AC95+AM95)*0.18,2),"")</f>
        <v/>
      </c>
      <c r="AK95" s="3" t="str">
        <f>IF(AI95=25%,ROUND((AC95+AM95)*0.25,2),"")</f>
        <v/>
      </c>
      <c r="AL95" s="9">
        <f>IF(OR($AC95="",$AD95=""),"",IFERROR($AC95/$AD95,0))</f>
      </c>
      <c r="AM95">
        <f>IF($AC95="","",
IF($S95="","",
IF(ISNUMBER(SEARCH("exempt",LOWER($S95))),0,
$AC95*(VALUE(SUBSTITUTE($S95,"%",""))/100))))</f>
      </c>
      <c r="AS95">
        <f>IF($AC95="","",
SUM($AC95,$AM95,$AQ95,$AN95,$AP95,$AO95,$AR95))</f>
      </c>
      <c r="AZ95" t="s">
        <v>296</v>
      </c>
    </row>
    <row r="96" spans="1:52" x14ac:dyDescent="0.25">
      <c r="R96" s="1"/>
      <c r="S96" s="1"/>
      <c r="T96" s="1"/>
      <c r="U96" s="1"/>
      <c r="V96" s="1">
        <f>IF($R96="","",TRIM(MID($R96,FIND(" - ",$R96)+3,LEN($R96))))</f>
      </c>
      <c r="W96" s="1"/>
      <c r="AC96" s="8" t="str">
        <f>IF(AND(AA96&lt;&gt;"",AB96&lt;&gt;""),AA96-AB96,IF(AA96&lt;&gt;"",AA96,""))</f>
        <v/>
      </c>
      <c r="AE96" s="8" t="str">
        <f>IF(AND(Z96&lt;&gt;"",AD96&lt;&gt;""),Z96*AD96,"")</f>
        <v/>
      </c>
      <c r="AI96" s="2"/>
      <c r="AJ96" s="3" t="str">
        <f>IF(AI96=18%,ROUND((AC96+AM96)*0.18,2),"")</f>
        <v/>
      </c>
      <c r="AK96" s="3" t="str">
        <f>IF(AI96=25%,ROUND((AC96+AM96)*0.25,2),"")</f>
        <v/>
      </c>
      <c r="AL96" s="9">
        <f>IF(OR($AC96="",$AD96=""),"",IFERROR($AC96/$AD96,0))</f>
      </c>
      <c r="AM96">
        <f>IF($AC96="","",
IF($S96="","",
IF(ISNUMBER(SEARCH("exempt",LOWER($S96))),0,
$AC96*(VALUE(SUBSTITUTE($S96,"%",""))/100))))</f>
      </c>
      <c r="AS96">
        <f>IF($AC96="","",
SUM($AC96,$AM96,$AQ96,$AN96,$AP96,$AO96,$AR96))</f>
      </c>
      <c r="AZ96" t="s">
        <v>297</v>
      </c>
    </row>
    <row r="97" spans="1:52" x14ac:dyDescent="0.25">
      <c r="R97" s="1"/>
      <c r="S97" s="1"/>
      <c r="T97" s="1"/>
      <c r="U97" s="1"/>
      <c r="V97" s="1">
        <f>IF($R97="","",TRIM(MID($R97,FIND(" - ",$R97)+3,LEN($R97))))</f>
      </c>
      <c r="W97" s="1"/>
      <c r="AC97" s="8" t="str">
        <f>IF(AND(AA97&lt;&gt;"",AB97&lt;&gt;""),AA97-AB97,IF(AA97&lt;&gt;"",AA97,""))</f>
        <v/>
      </c>
      <c r="AE97" s="8" t="str">
        <f>IF(AND(Z97&lt;&gt;"",AD97&lt;&gt;""),Z97*AD97,"")</f>
        <v/>
      </c>
      <c r="AI97" s="2"/>
      <c r="AJ97" s="3" t="str">
        <f>IF(AI97=18%,ROUND((AC97+AM97)*0.18,2),"")</f>
        <v/>
      </c>
      <c r="AK97" s="3" t="str">
        <f>IF(AI97=25%,ROUND((AC97+AM97)*0.25,2),"")</f>
        <v/>
      </c>
      <c r="AL97" s="9">
        <f>IF(OR($AC97="",$AD97=""),"",IFERROR($AC97/$AD97,0))</f>
      </c>
      <c r="AM97">
        <f>IF($AC97="","",
IF($S97="","",
IF(ISNUMBER(SEARCH("exempt",LOWER($S97))),0,
$AC97*(VALUE(SUBSTITUTE($S97,"%",""))/100))))</f>
      </c>
      <c r="AS97">
        <f>IF($AC97="","",
SUM($AC97,$AM97,$AQ97,$AN97,$AP97,$AO97,$AR97))</f>
      </c>
      <c r="AZ97" t="s">
        <v>298</v>
      </c>
    </row>
    <row r="98" spans="1:52" x14ac:dyDescent="0.25">
      <c r="R98" s="1"/>
      <c r="S98" s="1"/>
      <c r="T98" s="1"/>
      <c r="U98" s="1"/>
      <c r="V98" s="1">
        <f>IF($R98="","",TRIM(MID($R98,FIND(" - ",$R98)+3,LEN($R98))))</f>
      </c>
      <c r="W98" s="1"/>
      <c r="AC98" s="8" t="str">
        <f>IF(AND(AA98&lt;&gt;"",AB98&lt;&gt;""),AA98-AB98,IF(AA98&lt;&gt;"",AA98,""))</f>
        <v/>
      </c>
      <c r="AE98" s="8" t="str">
        <f>IF(AND(Z98&lt;&gt;"",AD98&lt;&gt;""),Z98*AD98,"")</f>
        <v/>
      </c>
      <c r="AI98" s="2"/>
      <c r="AJ98" s="3" t="str">
        <f>IF(AI98=18%,ROUND((AC98+AM98)*0.18,2),"")</f>
        <v/>
      </c>
      <c r="AK98" s="3" t="str">
        <f>IF(AI98=25%,ROUND((AC98+AM98)*0.25,2),"")</f>
        <v/>
      </c>
      <c r="AL98" s="9">
        <f>IF(OR($AC98="",$AD98=""),"",IFERROR($AC98/$AD98,0))</f>
      </c>
      <c r="AM98">
        <f>IF($AC98="","",
IF($S98="","",
IF(ISNUMBER(SEARCH("exempt",LOWER($S98))),0,
$AC98*(VALUE(SUBSTITUTE($S98,"%",""))/100))))</f>
      </c>
      <c r="AS98">
        <f>IF($AC98="","",
SUM($AC98,$AM98,$AQ98,$AN98,$AP98,$AO98,$AR98))</f>
      </c>
      <c r="AZ98" t="s">
        <v>299</v>
      </c>
    </row>
    <row r="99" spans="1:52" x14ac:dyDescent="0.25">
      <c r="R99" s="1"/>
      <c r="S99" s="1"/>
      <c r="T99" s="1"/>
      <c r="U99" s="1"/>
      <c r="V99" s="1">
        <f>IF($R99="","",TRIM(MID($R99,FIND(" - ",$R99)+3,LEN($R99))))</f>
      </c>
      <c r="W99" s="1"/>
      <c r="AC99" s="8" t="str">
        <f>IF(AND(AA99&lt;&gt;"",AB99&lt;&gt;""),AA99-AB99,IF(AA99&lt;&gt;"",AA99,""))</f>
        <v/>
      </c>
      <c r="AE99" s="8" t="str">
        <f>IF(AND(Z99&lt;&gt;"",AD99&lt;&gt;""),Z99*AD99,"")</f>
        <v/>
      </c>
      <c r="AI99" s="2"/>
      <c r="AJ99" s="3" t="str">
        <f>IF(AI99=18%,ROUND((AC99+AM99)*0.18,2),"")</f>
        <v/>
      </c>
      <c r="AK99" s="3" t="str">
        <f>IF(AI99=25%,ROUND((AC99+AM99)*0.25,2),"")</f>
        <v/>
      </c>
      <c r="AL99" s="9">
        <f>IF(OR($AC99="",$AD99=""),"",IFERROR($AC99/$AD99,0))</f>
      </c>
      <c r="AM99">
        <f>IF($AC99="","",
IF($S99="","",
IF(ISNUMBER(SEARCH("exempt",LOWER($S99))),0,
$AC99*(VALUE(SUBSTITUTE($S99,"%",""))/100))))</f>
      </c>
      <c r="AS99">
        <f>IF($AC99="","",
SUM($AC99,$AM99,$AQ99,$AN99,$AP99,$AO99,$AR99))</f>
      </c>
      <c r="AZ99" t="s">
        <v>300</v>
      </c>
    </row>
    <row r="100" spans="1:52" x14ac:dyDescent="0.25">
      <c r="R100" s="1"/>
      <c r="S100" s="1"/>
      <c r="T100" s="1"/>
      <c r="U100" s="1"/>
      <c r="V100" s="1">
        <f>IF($R100="","",TRIM(MID($R100,FIND(" - ",$R100)+3,LEN($R100))))</f>
      </c>
      <c r="W100" s="1"/>
      <c r="AC100" s="8" t="str">
        <f>IF(AND(AA100&lt;&gt;"",AB100&lt;&gt;""),AA100-AB100,IF(AA100&lt;&gt;"",AA100,""))</f>
        <v/>
      </c>
      <c r="AE100" s="8" t="str">
        <f>IF(AND(Z100&lt;&gt;"",AD100&lt;&gt;""),Z100*AD100,"")</f>
        <v/>
      </c>
      <c r="AI100" s="2"/>
      <c r="AJ100" s="3" t="str">
        <f>IF(AI100=18%,ROUND((AC100+AM100)*0.18,2),"")</f>
        <v/>
      </c>
      <c r="AK100" s="3" t="str">
        <f>IF(AI100=25%,ROUND((AC100+AM100)*0.25,2),"")</f>
        <v/>
      </c>
      <c r="AL100" s="9">
        <f>IF(OR($AC100="",$AD100=""),"",IFERROR($AC100/$AD100,0))</f>
      </c>
      <c r="AM100">
        <f>IF($AC100="","",
IF($S100="","",
IF(ISNUMBER(SEARCH("exempt",LOWER($S100))),0,
$AC100*(VALUE(SUBSTITUTE($S100,"%",""))/100))))</f>
      </c>
      <c r="AS100">
        <f>IF($AC100="","",
SUM($AC100,$AM100,$AQ100,$AN100,$AP100,$AO100,$AR100))</f>
      </c>
      <c r="AZ100" t="s">
        <v>301</v>
      </c>
    </row>
    <row r="101" spans="1:52" x14ac:dyDescent="0.25">
      <c r="R101" s="1"/>
      <c r="S101" s="1"/>
      <c r="T101" s="1"/>
      <c r="U101" s="1"/>
      <c r="V101" s="1">
        <f>IF($R101="","",TRIM(MID($R101,FIND(" - ",$R101)+3,LEN($R101))))</f>
      </c>
      <c r="W101" s="1"/>
      <c r="AC101" s="8" t="str">
        <f>IF(AND(AA101&lt;&gt;"",AB101&lt;&gt;""),AA101-AB101,IF(AA101&lt;&gt;"",AA101,""))</f>
        <v/>
      </c>
      <c r="AE101" s="8" t="str">
        <f>IF(AND(Z101&lt;&gt;"",AD101&lt;&gt;""),Z101*AD101,"")</f>
        <v/>
      </c>
      <c r="AI101" s="2"/>
      <c r="AJ101" s="3" t="str">
        <f>IF(AI101=18%,ROUND((AC101+AM101)*0.18,2),"")</f>
        <v/>
      </c>
      <c r="AK101" s="3" t="str">
        <f>IF(AI101=25%,ROUND((AC101+AM101)*0.25,2),"")</f>
        <v/>
      </c>
      <c r="AL101" s="9">
        <f>IF(OR($AC101="",$AD101=""),"",IFERROR($AC101/$AD101,0))</f>
      </c>
      <c r="AM101">
        <f>IF($AC101="","",
IF($S101="","",
IF(ISNUMBER(SEARCH("exempt",LOWER($S101))),0,
$AC101*(VALUE(SUBSTITUTE($S101,"%",""))/100))))</f>
      </c>
      <c r="AS101">
        <f>IF($AC101="","",
SUM($AC101,$AM101,$AQ101,$AN101,$AP101,$AO101,$AR101))</f>
      </c>
      <c r="AZ101" t="s">
        <v>302</v>
      </c>
    </row>
    <row r="102" spans="1:52" x14ac:dyDescent="0.25">
      <c r="A102" t="s">
        <v>303</v>
      </c>
      <c r="AZ102" t="s">
        <v>304</v>
      </c>
    </row>
    <row r="103" spans="52:52" x14ac:dyDescent="0.25">
      <c r="AZ103" t="s">
        <v>305</v>
      </c>
    </row>
    <row r="104" spans="1:52" x14ac:dyDescent="0.25">
      <c r="A104" s="10" t="s">
        <v>306</v>
      </c>
      <c r="AZ104" t="s">
        <v>307</v>
      </c>
    </row>
    <row r="105" spans="1:52" x14ac:dyDescent="0.25">
      <c r="A105" s="11" t="s">
        <v>308</v>
      </c>
      <c r="AZ105" t="s">
        <v>309</v>
      </c>
    </row>
    <row r="106" spans="1:52" x14ac:dyDescent="0.25">
      <c r="A106" s="11" t="s">
        <v>310</v>
      </c>
      <c r="AZ106" t="s">
        <v>311</v>
      </c>
    </row>
    <row r="107" spans="1:52" x14ac:dyDescent="0.25">
      <c r="A107" s="11" t="s">
        <v>312</v>
      </c>
      <c r="AZ107" t="s">
        <v>313</v>
      </c>
    </row>
    <row r="108" spans="1:52" x14ac:dyDescent="0.25">
      <c r="A108" s="11" t="s">
        <v>314</v>
      </c>
      <c r="AZ108" t="s">
        <v>315</v>
      </c>
    </row>
    <row r="109" spans="1:52" x14ac:dyDescent="0.25">
      <c r="A109" s="11" t="s">
        <v>316</v>
      </c>
      <c r="AZ109" t="s">
        <v>317</v>
      </c>
    </row>
    <row r="110" spans="1:52" x14ac:dyDescent="0.25">
      <c r="A110" s="11" t="s">
        <v>318</v>
      </c>
      <c r="AZ110" t="s">
        <v>319</v>
      </c>
    </row>
    <row r="111" spans="1:52" x14ac:dyDescent="0.25">
      <c r="A111" s="11" t="s">
        <v>320</v>
      </c>
      <c r="AZ111" t="s">
        <v>321</v>
      </c>
    </row>
    <row r="112" spans="1:52" x14ac:dyDescent="0.25">
      <c r="A112" s="11" t="s">
        <v>322</v>
      </c>
      <c r="AZ112" t="s">
        <v>323</v>
      </c>
    </row>
    <row r="113" spans="1:52" x14ac:dyDescent="0.25">
      <c r="A113" s="11" t="s">
        <v>324</v>
      </c>
      <c r="AZ113" t="s">
        <v>325</v>
      </c>
    </row>
    <row r="114" spans="1:52" x14ac:dyDescent="0.25">
      <c r="A114" s="11" t="s">
        <v>326</v>
      </c>
      <c r="AZ114" t="s">
        <v>327</v>
      </c>
    </row>
    <row r="115" spans="1:52" x14ac:dyDescent="0.25">
      <c r="A115" s="11" t="s">
        <v>328</v>
      </c>
      <c r="AZ115" t="s">
        <v>329</v>
      </c>
    </row>
    <row r="116" spans="52:52" x14ac:dyDescent="0.25">
      <c r="AZ116" t="s">
        <v>330</v>
      </c>
    </row>
    <row r="117" spans="52:52" x14ac:dyDescent="0.25">
      <c r="AZ117" t="s">
        <v>331</v>
      </c>
    </row>
    <row r="118" spans="52:52" x14ac:dyDescent="0.25">
      <c r="AZ118" t="s">
        <v>332</v>
      </c>
    </row>
    <row r="119" spans="52:52" x14ac:dyDescent="0.25">
      <c r="AZ119" t="s">
        <v>333</v>
      </c>
    </row>
    <row r="120" spans="52:52" x14ac:dyDescent="0.25">
      <c r="AZ120" t="s">
        <v>334</v>
      </c>
    </row>
    <row r="121" spans="52:52" x14ac:dyDescent="0.25">
      <c r="AZ121" t="s">
        <v>335</v>
      </c>
    </row>
    <row r="122" spans="52:52" x14ac:dyDescent="0.25">
      <c r="AZ122" t="s">
        <v>336</v>
      </c>
    </row>
    <row r="123" spans="52:52" x14ac:dyDescent="0.25">
      <c r="AZ123" t="s">
        <v>337</v>
      </c>
    </row>
    <row r="124" spans="52:52" x14ac:dyDescent="0.25">
      <c r="AZ124" t="s">
        <v>338</v>
      </c>
    </row>
    <row r="125" spans="52:52" x14ac:dyDescent="0.25">
      <c r="AZ125" t="s">
        <v>339</v>
      </c>
    </row>
    <row r="126" spans="52:52" x14ac:dyDescent="0.25">
      <c r="AZ126" t="s">
        <v>340</v>
      </c>
    </row>
    <row r="127" spans="52:52" x14ac:dyDescent="0.25">
      <c r="AZ127" t="s">
        <v>341</v>
      </c>
    </row>
    <row r="128" spans="52:52" x14ac:dyDescent="0.25">
      <c r="AZ128" t="s">
        <v>342</v>
      </c>
    </row>
    <row r="129" spans="52:52" x14ac:dyDescent="0.25">
      <c r="AZ129" t="s">
        <v>343</v>
      </c>
    </row>
    <row r="130" spans="52:52" x14ac:dyDescent="0.25">
      <c r="AZ130" t="s">
        <v>344</v>
      </c>
    </row>
    <row r="131" spans="52:52" x14ac:dyDescent="0.25">
      <c r="AZ131" t="s">
        <v>345</v>
      </c>
    </row>
    <row r="132" spans="52:52" x14ac:dyDescent="0.25">
      <c r="AZ132" t="s">
        <v>346</v>
      </c>
    </row>
    <row r="133" spans="52:52" x14ac:dyDescent="0.25">
      <c r="AZ133" t="s">
        <v>347</v>
      </c>
    </row>
    <row r="134" spans="52:52" x14ac:dyDescent="0.25">
      <c r="AZ134" t="s">
        <v>348</v>
      </c>
    </row>
    <row r="135" spans="52:52" x14ac:dyDescent="0.25">
      <c r="AZ135" t="s">
        <v>349</v>
      </c>
    </row>
    <row r="136" spans="52:52" x14ac:dyDescent="0.25">
      <c r="AZ136" t="s">
        <v>350</v>
      </c>
    </row>
    <row r="137" spans="52:52" x14ac:dyDescent="0.25">
      <c r="AZ137" t="s">
        <v>351</v>
      </c>
    </row>
    <row r="138" spans="52:52" x14ac:dyDescent="0.25">
      <c r="AZ138" t="s">
        <v>352</v>
      </c>
    </row>
    <row r="139" spans="52:52" x14ac:dyDescent="0.25">
      <c r="AZ139" t="s">
        <v>353</v>
      </c>
    </row>
    <row r="140" spans="52:52" x14ac:dyDescent="0.25">
      <c r="AZ140" t="s">
        <v>354</v>
      </c>
    </row>
    <row r="141" spans="52:52" x14ac:dyDescent="0.25">
      <c r="AZ141" t="s">
        <v>355</v>
      </c>
    </row>
    <row r="142" spans="52:52" x14ac:dyDescent="0.25">
      <c r="AZ142" t="s">
        <v>356</v>
      </c>
    </row>
    <row r="143" spans="52:52" x14ac:dyDescent="0.25">
      <c r="AZ143" t="s">
        <v>357</v>
      </c>
    </row>
    <row r="144" spans="52:52" x14ac:dyDescent="0.25">
      <c r="AZ144" t="s">
        <v>358</v>
      </c>
    </row>
    <row r="145" spans="52:52" x14ac:dyDescent="0.25">
      <c r="AZ145" t="s">
        <v>359</v>
      </c>
    </row>
    <row r="146" spans="52:52" x14ac:dyDescent="0.25">
      <c r="AZ146" t="s">
        <v>360</v>
      </c>
    </row>
    <row r="147" spans="52:52" x14ac:dyDescent="0.25">
      <c r="AZ147" t="s">
        <v>361</v>
      </c>
    </row>
    <row r="148" spans="52:52" x14ac:dyDescent="0.25">
      <c r="AZ148" t="s">
        <v>362</v>
      </c>
    </row>
    <row r="149" spans="52:52" x14ac:dyDescent="0.25">
      <c r="AZ149" t="s">
        <v>363</v>
      </c>
    </row>
    <row r="150" spans="52:52" x14ac:dyDescent="0.25">
      <c r="AZ150" t="s">
        <v>364</v>
      </c>
    </row>
    <row r="151" spans="52:52" x14ac:dyDescent="0.25">
      <c r="AZ151" t="s">
        <v>365</v>
      </c>
    </row>
    <row r="152" spans="52:52" x14ac:dyDescent="0.25">
      <c r="AZ152" t="s">
        <v>366</v>
      </c>
    </row>
    <row r="153" spans="52:52" x14ac:dyDescent="0.25">
      <c r="AZ153" t="s">
        <v>367</v>
      </c>
    </row>
    <row r="154" spans="52:52" x14ac:dyDescent="0.25">
      <c r="AZ154" t="s">
        <v>368</v>
      </c>
    </row>
    <row r="155" spans="52:52" x14ac:dyDescent="0.25">
      <c r="AZ155" t="s">
        <v>369</v>
      </c>
    </row>
    <row r="156" spans="52:52" x14ac:dyDescent="0.25">
      <c r="AZ156" t="s">
        <v>370</v>
      </c>
    </row>
    <row r="157" spans="52:52" x14ac:dyDescent="0.25">
      <c r="AZ157" t="s">
        <v>371</v>
      </c>
    </row>
    <row r="158" spans="52:52" x14ac:dyDescent="0.25">
      <c r="AZ158" t="s">
        <v>372</v>
      </c>
    </row>
    <row r="159" spans="52:52" x14ac:dyDescent="0.25">
      <c r="AZ159" t="s">
        <v>373</v>
      </c>
    </row>
    <row r="160" spans="52:52" x14ac:dyDescent="0.25">
      <c r="AZ160" t="s">
        <v>374</v>
      </c>
    </row>
    <row r="161" spans="52:52" x14ac:dyDescent="0.25">
      <c r="AZ161" t="s">
        <v>375</v>
      </c>
    </row>
    <row r="162" spans="52:52" x14ac:dyDescent="0.25">
      <c r="AZ162" t="s">
        <v>376</v>
      </c>
    </row>
    <row r="163" spans="52:52" x14ac:dyDescent="0.25">
      <c r="AZ163" t="s">
        <v>377</v>
      </c>
    </row>
    <row r="164" spans="52:52" x14ac:dyDescent="0.25">
      <c r="AZ164" t="s">
        <v>378</v>
      </c>
    </row>
    <row r="165" spans="52:52" x14ac:dyDescent="0.25">
      <c r="AZ165" t="s">
        <v>379</v>
      </c>
    </row>
    <row r="166" spans="52:52" x14ac:dyDescent="0.25">
      <c r="AZ166" t="s">
        <v>380</v>
      </c>
    </row>
    <row r="167" spans="52:52" x14ac:dyDescent="0.25">
      <c r="AZ167" t="s">
        <v>381</v>
      </c>
    </row>
    <row r="168" spans="52:52" x14ac:dyDescent="0.25">
      <c r="AZ168" t="s">
        <v>382</v>
      </c>
    </row>
    <row r="169" spans="52:52" x14ac:dyDescent="0.25">
      <c r="AZ169" t="s">
        <v>383</v>
      </c>
    </row>
    <row r="170" spans="52:52" x14ac:dyDescent="0.25">
      <c r="AZ170" t="s">
        <v>384</v>
      </c>
    </row>
    <row r="171" spans="52:52" x14ac:dyDescent="0.25">
      <c r="AZ171" t="s">
        <v>385</v>
      </c>
    </row>
    <row r="172" spans="52:52" x14ac:dyDescent="0.25">
      <c r="AZ172" t="s">
        <v>386</v>
      </c>
    </row>
    <row r="173" spans="52:52" x14ac:dyDescent="0.25">
      <c r="AZ173" t="s">
        <v>387</v>
      </c>
    </row>
    <row r="174" spans="52:52" x14ac:dyDescent="0.25">
      <c r="AZ174" t="s">
        <v>388</v>
      </c>
    </row>
    <row r="175" spans="52:52" x14ac:dyDescent="0.25">
      <c r="AZ175" t="s">
        <v>389</v>
      </c>
    </row>
    <row r="176" spans="52:52" x14ac:dyDescent="0.25">
      <c r="AZ176" t="s">
        <v>390</v>
      </c>
    </row>
    <row r="177" spans="52:52" x14ac:dyDescent="0.25">
      <c r="AZ177" t="s">
        <v>391</v>
      </c>
    </row>
    <row r="178" spans="52:52" x14ac:dyDescent="0.25">
      <c r="AZ178" t="s">
        <v>392</v>
      </c>
    </row>
    <row r="179" spans="52:52" x14ac:dyDescent="0.25">
      <c r="AZ179" t="s">
        <v>393</v>
      </c>
    </row>
    <row r="180" spans="52:52" x14ac:dyDescent="0.25">
      <c r="AZ180" t="s">
        <v>394</v>
      </c>
    </row>
    <row r="181" spans="52:52" x14ac:dyDescent="0.25">
      <c r="AZ181" t="s">
        <v>395</v>
      </c>
    </row>
    <row r="182" spans="52:52" x14ac:dyDescent="0.25">
      <c r="AZ182" t="s">
        <v>396</v>
      </c>
    </row>
    <row r="183" spans="52:52" x14ac:dyDescent="0.25">
      <c r="AZ183" t="s">
        <v>397</v>
      </c>
    </row>
    <row r="184" spans="52:52" x14ac:dyDescent="0.25">
      <c r="AZ184" t="s">
        <v>398</v>
      </c>
    </row>
    <row r="185" spans="52:52" x14ac:dyDescent="0.25">
      <c r="AZ185" t="s">
        <v>399</v>
      </c>
    </row>
    <row r="186" spans="52:52" x14ac:dyDescent="0.25">
      <c r="AZ186" t="s">
        <v>400</v>
      </c>
    </row>
    <row r="187" spans="52:52" x14ac:dyDescent="0.25">
      <c r="AZ187" t="s">
        <v>401</v>
      </c>
    </row>
    <row r="188" spans="52:52" x14ac:dyDescent="0.25">
      <c r="AZ188" t="s">
        <v>402</v>
      </c>
    </row>
    <row r="189" spans="52:52" x14ac:dyDescent="0.25">
      <c r="AZ189" t="s">
        <v>403</v>
      </c>
    </row>
    <row r="190" spans="52:52" x14ac:dyDescent="0.25">
      <c r="AZ190" t="s">
        <v>404</v>
      </c>
    </row>
    <row r="191" spans="52:52" x14ac:dyDescent="0.25">
      <c r="AZ191" t="s">
        <v>405</v>
      </c>
    </row>
    <row r="192" spans="52:52" x14ac:dyDescent="0.25">
      <c r="AZ192" t="s">
        <v>406</v>
      </c>
    </row>
    <row r="193" spans="52:52" x14ac:dyDescent="0.25">
      <c r="AZ193" t="s">
        <v>407</v>
      </c>
    </row>
    <row r="194" spans="52:52" x14ac:dyDescent="0.25">
      <c r="AZ194" t="s">
        <v>408</v>
      </c>
    </row>
    <row r="195" spans="52:52" x14ac:dyDescent="0.25">
      <c r="AZ195" t="s">
        <v>409</v>
      </c>
    </row>
    <row r="196" spans="52:52" x14ac:dyDescent="0.25">
      <c r="AZ196" t="s">
        <v>410</v>
      </c>
    </row>
    <row r="197" spans="52:52" x14ac:dyDescent="0.25">
      <c r="AZ197" t="s">
        <v>411</v>
      </c>
    </row>
    <row r="198" spans="52:52" x14ac:dyDescent="0.25">
      <c r="AZ198" t="s">
        <v>412</v>
      </c>
    </row>
    <row r="199" spans="52:52" x14ac:dyDescent="0.25">
      <c r="AZ199" t="s">
        <v>413</v>
      </c>
    </row>
    <row r="200" spans="52:52" x14ac:dyDescent="0.25">
      <c r="AZ200" t="s">
        <v>414</v>
      </c>
    </row>
    <row r="201" spans="52:52" x14ac:dyDescent="0.25">
      <c r="AZ201" t="s">
        <v>415</v>
      </c>
    </row>
    <row r="202" spans="52:52" x14ac:dyDescent="0.25">
      <c r="AZ202" t="s">
        <v>416</v>
      </c>
    </row>
    <row r="203" spans="52:52" x14ac:dyDescent="0.25">
      <c r="AZ203" t="s">
        <v>417</v>
      </c>
    </row>
    <row r="204" spans="52:52" x14ac:dyDescent="0.25">
      <c r="AZ204" t="s">
        <v>418</v>
      </c>
    </row>
    <row r="205" spans="52:52" x14ac:dyDescent="0.25">
      <c r="AZ205" t="s">
        <v>419</v>
      </c>
    </row>
    <row r="206" spans="52:52" x14ac:dyDescent="0.25">
      <c r="AZ206" t="s">
        <v>420</v>
      </c>
    </row>
    <row r="207" spans="52:52" x14ac:dyDescent="0.25">
      <c r="AZ207" t="s">
        <v>421</v>
      </c>
    </row>
    <row r="208" spans="52:52" x14ac:dyDescent="0.25">
      <c r="AZ208" t="s">
        <v>422</v>
      </c>
    </row>
    <row r="209" spans="52:52" x14ac:dyDescent="0.25">
      <c r="AZ209" t="s">
        <v>423</v>
      </c>
    </row>
    <row r="210" spans="52:52" x14ac:dyDescent="0.25">
      <c r="AZ210" t="s">
        <v>424</v>
      </c>
    </row>
    <row r="211" spans="52:52" x14ac:dyDescent="0.25">
      <c r="AZ211" t="s">
        <v>425</v>
      </c>
    </row>
    <row r="212" spans="52:52" x14ac:dyDescent="0.25">
      <c r="AZ212" t="s">
        <v>426</v>
      </c>
    </row>
    <row r="213" spans="52:52" x14ac:dyDescent="0.25">
      <c r="AZ213" t="s">
        <v>427</v>
      </c>
    </row>
    <row r="214" spans="52:52" x14ac:dyDescent="0.25">
      <c r="AZ214" t="s">
        <v>428</v>
      </c>
    </row>
    <row r="215" spans="52:52" x14ac:dyDescent="0.25">
      <c r="AZ215" t="s">
        <v>429</v>
      </c>
    </row>
    <row r="216" spans="52:52" x14ac:dyDescent="0.25">
      <c r="AZ216" t="s">
        <v>430</v>
      </c>
    </row>
    <row r="217" spans="52:52" x14ac:dyDescent="0.25">
      <c r="AZ217" t="s">
        <v>431</v>
      </c>
    </row>
    <row r="218" spans="52:52" x14ac:dyDescent="0.25">
      <c r="AZ218" t="s">
        <v>432</v>
      </c>
    </row>
    <row r="219" spans="52:52" x14ac:dyDescent="0.25">
      <c r="AZ219" t="s">
        <v>433</v>
      </c>
    </row>
    <row r="220" spans="52:52" x14ac:dyDescent="0.25">
      <c r="AZ220" t="s">
        <v>434</v>
      </c>
    </row>
    <row r="221" spans="52:52" x14ac:dyDescent="0.25">
      <c r="AZ221" t="s">
        <v>435</v>
      </c>
    </row>
    <row r="222" spans="52:52" x14ac:dyDescent="0.25">
      <c r="AZ222" t="s">
        <v>436</v>
      </c>
    </row>
    <row r="223" spans="52:52" x14ac:dyDescent="0.25">
      <c r="AZ223" t="s">
        <v>437</v>
      </c>
    </row>
    <row r="224" spans="52:52" x14ac:dyDescent="0.25">
      <c r="AZ224" t="s">
        <v>438</v>
      </c>
    </row>
    <row r="225" spans="52:52" x14ac:dyDescent="0.25">
      <c r="AZ225" t="s">
        <v>439</v>
      </c>
    </row>
    <row r="226" spans="52:52" x14ac:dyDescent="0.25">
      <c r="AZ226" t="s">
        <v>440</v>
      </c>
    </row>
    <row r="227" spans="52:52" x14ac:dyDescent="0.25">
      <c r="AZ227" t="s">
        <v>441</v>
      </c>
    </row>
    <row r="228" spans="52:52" x14ac:dyDescent="0.25">
      <c r="AZ228" t="s">
        <v>442</v>
      </c>
    </row>
    <row r="229" spans="52:52" x14ac:dyDescent="0.25">
      <c r="AZ229" t="s">
        <v>443</v>
      </c>
    </row>
    <row r="230" spans="52:52" x14ac:dyDescent="0.25">
      <c r="AZ230" t="s">
        <v>444</v>
      </c>
    </row>
    <row r="231" spans="52:52" x14ac:dyDescent="0.25">
      <c r="AZ231" t="s">
        <v>445</v>
      </c>
    </row>
    <row r="232" spans="52:52" x14ac:dyDescent="0.25">
      <c r="AZ232" t="s">
        <v>446</v>
      </c>
    </row>
    <row r="233" spans="52:52" x14ac:dyDescent="0.25">
      <c r="AZ233" t="s">
        <v>447</v>
      </c>
    </row>
    <row r="234" spans="52:52" x14ac:dyDescent="0.25">
      <c r="AZ234" t="s">
        <v>448</v>
      </c>
    </row>
    <row r="235" spans="52:52" x14ac:dyDescent="0.25">
      <c r="AZ235" t="s">
        <v>449</v>
      </c>
    </row>
    <row r="236" spans="52:52" x14ac:dyDescent="0.25">
      <c r="AZ236" t="s">
        <v>450</v>
      </c>
    </row>
    <row r="237" spans="52:52" x14ac:dyDescent="0.25">
      <c r="AZ237" t="s">
        <v>451</v>
      </c>
    </row>
    <row r="238" spans="52:52" x14ac:dyDescent="0.25">
      <c r="AZ238" t="s">
        <v>452</v>
      </c>
    </row>
    <row r="239" spans="52:52" x14ac:dyDescent="0.25">
      <c r="AZ239" t="s">
        <v>453</v>
      </c>
    </row>
    <row r="240" spans="52:52" x14ac:dyDescent="0.25">
      <c r="AZ240" t="s">
        <v>454</v>
      </c>
    </row>
    <row r="241" spans="52:52" x14ac:dyDescent="0.25">
      <c r="AZ241" t="s">
        <v>455</v>
      </c>
    </row>
    <row r="242" spans="52:52" x14ac:dyDescent="0.25">
      <c r="AZ242" t="s">
        <v>456</v>
      </c>
    </row>
    <row r="243" spans="52:52" x14ac:dyDescent="0.25">
      <c r="AZ243" t="s">
        <v>457</v>
      </c>
    </row>
    <row r="244" spans="52:52" x14ac:dyDescent="0.25">
      <c r="AZ244" t="s">
        <v>458</v>
      </c>
    </row>
    <row r="245" spans="52:52" x14ac:dyDescent="0.25">
      <c r="AZ245" t="s">
        <v>459</v>
      </c>
    </row>
    <row r="246" spans="52:52" x14ac:dyDescent="0.25">
      <c r="AZ246" t="s">
        <v>460</v>
      </c>
    </row>
    <row r="247" spans="52:52" x14ac:dyDescent="0.25">
      <c r="AZ247" t="s">
        <v>461</v>
      </c>
    </row>
    <row r="248" spans="52:52" x14ac:dyDescent="0.25">
      <c r="AZ248" t="s">
        <v>462</v>
      </c>
    </row>
    <row r="249" spans="52:52" x14ac:dyDescent="0.25">
      <c r="AZ249" t="s">
        <v>463</v>
      </c>
    </row>
    <row r="250" spans="52:52" x14ac:dyDescent="0.25">
      <c r="AZ250" t="s">
        <v>464</v>
      </c>
    </row>
    <row r="251" spans="52:52" x14ac:dyDescent="0.25">
      <c r="AZ251" t="s">
        <v>465</v>
      </c>
    </row>
    <row r="252" spans="52:52" x14ac:dyDescent="0.25">
      <c r="AZ252" t="s">
        <v>466</v>
      </c>
    </row>
    <row r="253" spans="52:52" x14ac:dyDescent="0.25">
      <c r="AZ253" t="s">
        <v>467</v>
      </c>
    </row>
    <row r="254" spans="52:52" x14ac:dyDescent="0.25">
      <c r="AZ254" t="s">
        <v>468</v>
      </c>
    </row>
    <row r="255" spans="52:52" x14ac:dyDescent="0.25">
      <c r="AZ255" t="s">
        <v>469</v>
      </c>
    </row>
    <row r="256" spans="52:52" x14ac:dyDescent="0.25">
      <c r="AZ256" t="s">
        <v>470</v>
      </c>
    </row>
    <row r="257" spans="52:52" x14ac:dyDescent="0.25">
      <c r="AZ257" t="s">
        <v>471</v>
      </c>
    </row>
    <row r="258" spans="52:52" x14ac:dyDescent="0.25">
      <c r="AZ258" t="s">
        <v>472</v>
      </c>
    </row>
    <row r="259" spans="52:52" x14ac:dyDescent="0.25">
      <c r="AZ259" t="s">
        <v>473</v>
      </c>
    </row>
    <row r="260" spans="52:52" x14ac:dyDescent="0.25">
      <c r="AZ260" t="s">
        <v>474</v>
      </c>
    </row>
    <row r="261" spans="52:52" x14ac:dyDescent="0.25">
      <c r="AZ261" t="s">
        <v>475</v>
      </c>
    </row>
    <row r="262" spans="52:52" x14ac:dyDescent="0.25">
      <c r="AZ262" t="s">
        <v>476</v>
      </c>
    </row>
    <row r="263" spans="52:52" x14ac:dyDescent="0.25">
      <c r="AZ263" t="s">
        <v>477</v>
      </c>
    </row>
    <row r="264" spans="52:52" x14ac:dyDescent="0.25">
      <c r="AZ264" t="s">
        <v>478</v>
      </c>
    </row>
    <row r="265" spans="52:52" x14ac:dyDescent="0.25">
      <c r="AZ265" t="s">
        <v>479</v>
      </c>
    </row>
    <row r="266" spans="52:52" x14ac:dyDescent="0.25">
      <c r="AZ266" t="s">
        <v>480</v>
      </c>
    </row>
    <row r="267" spans="52:52" x14ac:dyDescent="0.25">
      <c r="AZ267" t="s">
        <v>481</v>
      </c>
    </row>
    <row r="268" spans="52:52" x14ac:dyDescent="0.25">
      <c r="AZ268" t="s">
        <v>482</v>
      </c>
    </row>
    <row r="269" spans="52:52" x14ac:dyDescent="0.25">
      <c r="AZ269" t="s">
        <v>483</v>
      </c>
    </row>
    <row r="270" spans="52:52" x14ac:dyDescent="0.25">
      <c r="AZ270" t="s">
        <v>484</v>
      </c>
    </row>
    <row r="271" spans="52:52" x14ac:dyDescent="0.25">
      <c r="AZ271" t="s">
        <v>485</v>
      </c>
    </row>
    <row r="272" spans="52:52" x14ac:dyDescent="0.25">
      <c r="AZ272" t="s">
        <v>486</v>
      </c>
    </row>
    <row r="273" spans="52:52" x14ac:dyDescent="0.25">
      <c r="AZ273" t="s">
        <v>487</v>
      </c>
    </row>
    <row r="274" spans="52:52" x14ac:dyDescent="0.25">
      <c r="AZ274" t="s">
        <v>488</v>
      </c>
    </row>
    <row r="275" spans="52:52" x14ac:dyDescent="0.25">
      <c r="AZ275" t="s">
        <v>489</v>
      </c>
    </row>
    <row r="276" spans="52:52" x14ac:dyDescent="0.25">
      <c r="AZ276" t="s">
        <v>490</v>
      </c>
    </row>
    <row r="277" spans="52:52" x14ac:dyDescent="0.25">
      <c r="AZ277" t="s">
        <v>491</v>
      </c>
    </row>
    <row r="278" spans="52:52" x14ac:dyDescent="0.25">
      <c r="AZ278" t="s">
        <v>492</v>
      </c>
    </row>
    <row r="279" spans="52:52" x14ac:dyDescent="0.25">
      <c r="AZ279" t="s">
        <v>493</v>
      </c>
    </row>
    <row r="280" spans="52:52" x14ac:dyDescent="0.25">
      <c r="AZ280" t="s">
        <v>494</v>
      </c>
    </row>
    <row r="281" spans="52:52" x14ac:dyDescent="0.25">
      <c r="AZ281" t="s">
        <v>495</v>
      </c>
    </row>
    <row r="282" spans="52:52" x14ac:dyDescent="0.25">
      <c r="AZ282" t="s">
        <v>496</v>
      </c>
    </row>
    <row r="283" spans="52:52" x14ac:dyDescent="0.25">
      <c r="AZ283" t="s">
        <v>497</v>
      </c>
    </row>
    <row r="284" spans="52:52" x14ac:dyDescent="0.25">
      <c r="AZ284" t="s">
        <v>498</v>
      </c>
    </row>
    <row r="285" spans="52:52" x14ac:dyDescent="0.25">
      <c r="AZ285" t="s">
        <v>499</v>
      </c>
    </row>
    <row r="286" spans="52:52" x14ac:dyDescent="0.25">
      <c r="AZ286" t="s">
        <v>500</v>
      </c>
    </row>
    <row r="287" spans="52:52" x14ac:dyDescent="0.25">
      <c r="AZ287" t="s">
        <v>501</v>
      </c>
    </row>
    <row r="288" spans="52:52" x14ac:dyDescent="0.25">
      <c r="AZ288" t="s">
        <v>502</v>
      </c>
    </row>
    <row r="289" spans="52:52" x14ac:dyDescent="0.25">
      <c r="AZ289" t="s">
        <v>503</v>
      </c>
    </row>
    <row r="290" spans="52:52" x14ac:dyDescent="0.25">
      <c r="AZ290" t="s">
        <v>504</v>
      </c>
    </row>
    <row r="291" spans="52:52" x14ac:dyDescent="0.25">
      <c r="AZ291" t="s">
        <v>505</v>
      </c>
    </row>
    <row r="292" spans="52:52" x14ac:dyDescent="0.25">
      <c r="AZ292" t="s">
        <v>506</v>
      </c>
    </row>
    <row r="293" spans="52:52" x14ac:dyDescent="0.25">
      <c r="AZ293" t="s">
        <v>507</v>
      </c>
    </row>
    <row r="294" spans="52:52" x14ac:dyDescent="0.25">
      <c r="AZ294" t="s">
        <v>508</v>
      </c>
    </row>
    <row r="295" spans="52:52" x14ac:dyDescent="0.25">
      <c r="AZ295" t="s">
        <v>509</v>
      </c>
    </row>
    <row r="296" spans="52:52" x14ac:dyDescent="0.25">
      <c r="AZ296" t="s">
        <v>510</v>
      </c>
    </row>
    <row r="297" spans="52:52" x14ac:dyDescent="0.25">
      <c r="AZ297" t="s">
        <v>511</v>
      </c>
    </row>
    <row r="298" spans="52:52" x14ac:dyDescent="0.25">
      <c r="AZ298" t="s">
        <v>512</v>
      </c>
    </row>
    <row r="299" spans="52:52" x14ac:dyDescent="0.25">
      <c r="AZ299" t="s">
        <v>513</v>
      </c>
    </row>
    <row r="300" spans="52:52" x14ac:dyDescent="0.25">
      <c r="AZ300" t="s">
        <v>514</v>
      </c>
    </row>
    <row r="301" spans="52:52" x14ac:dyDescent="0.25">
      <c r="AZ301" t="s">
        <v>515</v>
      </c>
    </row>
    <row r="302" spans="52:52" x14ac:dyDescent="0.25">
      <c r="AZ302" t="s">
        <v>516</v>
      </c>
    </row>
    <row r="303" spans="52:52" x14ac:dyDescent="0.25">
      <c r="AZ303" t="s">
        <v>517</v>
      </c>
    </row>
    <row r="304" spans="52:52" x14ac:dyDescent="0.25">
      <c r="AZ304" t="s">
        <v>518</v>
      </c>
    </row>
    <row r="305" spans="52:52" x14ac:dyDescent="0.25">
      <c r="AZ305" t="s">
        <v>519</v>
      </c>
    </row>
    <row r="306" spans="52:52" x14ac:dyDescent="0.25">
      <c r="AZ306" t="s">
        <v>520</v>
      </c>
    </row>
    <row r="307" spans="52:52" x14ac:dyDescent="0.25">
      <c r="AZ307" t="s">
        <v>521</v>
      </c>
    </row>
    <row r="308" spans="52:52" x14ac:dyDescent="0.25">
      <c r="AZ308" t="s">
        <v>522</v>
      </c>
    </row>
    <row r="309" spans="52:52" x14ac:dyDescent="0.25">
      <c r="AZ309" t="s">
        <v>523</v>
      </c>
    </row>
    <row r="310" spans="52:52" x14ac:dyDescent="0.25">
      <c r="AZ310" t="s">
        <v>524</v>
      </c>
    </row>
    <row r="311" spans="52:52" x14ac:dyDescent="0.25">
      <c r="AZ311" t="s">
        <v>525</v>
      </c>
    </row>
    <row r="312" spans="52:52" x14ac:dyDescent="0.25">
      <c r="AZ312" t="s">
        <v>526</v>
      </c>
    </row>
    <row r="313" spans="52:52" x14ac:dyDescent="0.25">
      <c r="AZ313" t="s">
        <v>527</v>
      </c>
    </row>
    <row r="314" spans="52:52" x14ac:dyDescent="0.25">
      <c r="AZ314" t="s">
        <v>528</v>
      </c>
    </row>
    <row r="315" spans="52:52" x14ac:dyDescent="0.25">
      <c r="AZ315" t="s">
        <v>529</v>
      </c>
    </row>
    <row r="316" spans="52:52" x14ac:dyDescent="0.25">
      <c r="AZ316" t="s">
        <v>530</v>
      </c>
    </row>
    <row r="317" spans="52:52" x14ac:dyDescent="0.25">
      <c r="AZ317" t="s">
        <v>531</v>
      </c>
    </row>
    <row r="318" spans="52:52" x14ac:dyDescent="0.25">
      <c r="AZ318" t="s">
        <v>532</v>
      </c>
    </row>
    <row r="319" spans="52:52" x14ac:dyDescent="0.25">
      <c r="AZ319" t="s">
        <v>533</v>
      </c>
    </row>
    <row r="320" spans="52:52" x14ac:dyDescent="0.25">
      <c r="AZ320" t="s">
        <v>534</v>
      </c>
    </row>
    <row r="321" spans="52:52" x14ac:dyDescent="0.25">
      <c r="AZ321" t="s">
        <v>535</v>
      </c>
    </row>
    <row r="322" spans="52:52" x14ac:dyDescent="0.25">
      <c r="AZ322" t="s">
        <v>536</v>
      </c>
    </row>
    <row r="323" spans="52:52" x14ac:dyDescent="0.25">
      <c r="AZ323" t="s">
        <v>537</v>
      </c>
    </row>
    <row r="324" spans="52:52" x14ac:dyDescent="0.25">
      <c r="AZ324" t="s">
        <v>538</v>
      </c>
    </row>
    <row r="325" spans="52:52" x14ac:dyDescent="0.25">
      <c r="AZ325" t="s">
        <v>539</v>
      </c>
    </row>
    <row r="326" spans="52:52" x14ac:dyDescent="0.25">
      <c r="AZ326" t="s">
        <v>540</v>
      </c>
    </row>
    <row r="327" spans="52:52" x14ac:dyDescent="0.25">
      <c r="AZ327" t="s">
        <v>541</v>
      </c>
    </row>
    <row r="328" spans="52:52" x14ac:dyDescent="0.25">
      <c r="AZ328" t="s">
        <v>542</v>
      </c>
    </row>
    <row r="329" spans="52:52" x14ac:dyDescent="0.25">
      <c r="AZ329" t="s">
        <v>543</v>
      </c>
    </row>
    <row r="330" spans="52:52" x14ac:dyDescent="0.25">
      <c r="AZ330" t="s">
        <v>544</v>
      </c>
    </row>
    <row r="331" spans="52:52" x14ac:dyDescent="0.25">
      <c r="AZ331" t="s">
        <v>545</v>
      </c>
    </row>
    <row r="332" spans="52:52" x14ac:dyDescent="0.25">
      <c r="AZ332" t="s">
        <v>546</v>
      </c>
    </row>
    <row r="333" spans="52:52" x14ac:dyDescent="0.25">
      <c r="AZ333" t="s">
        <v>547</v>
      </c>
    </row>
    <row r="334" spans="52:52" x14ac:dyDescent="0.25">
      <c r="AZ334" t="s">
        <v>548</v>
      </c>
    </row>
    <row r="335" spans="52:52" x14ac:dyDescent="0.25">
      <c r="AZ335" t="s">
        <v>549</v>
      </c>
    </row>
    <row r="336" spans="52:52" x14ac:dyDescent="0.25">
      <c r="AZ336" t="s">
        <v>550</v>
      </c>
    </row>
    <row r="337" spans="52:52" x14ac:dyDescent="0.25">
      <c r="AZ337" t="s">
        <v>551</v>
      </c>
    </row>
    <row r="338" spans="52:52" x14ac:dyDescent="0.25">
      <c r="AZ338" t="s">
        <v>552</v>
      </c>
    </row>
    <row r="339" spans="52:52" x14ac:dyDescent="0.25">
      <c r="AZ339" t="s">
        <v>553</v>
      </c>
    </row>
    <row r="340" spans="52:52" x14ac:dyDescent="0.25">
      <c r="AZ340" t="s">
        <v>554</v>
      </c>
    </row>
    <row r="341" spans="52:52" x14ac:dyDescent="0.25">
      <c r="AZ341" t="s">
        <v>555</v>
      </c>
    </row>
    <row r="342" spans="52:52" x14ac:dyDescent="0.25">
      <c r="AZ342" t="s">
        <v>556</v>
      </c>
    </row>
    <row r="343" spans="52:52" x14ac:dyDescent="0.25">
      <c r="AZ343" t="s">
        <v>557</v>
      </c>
    </row>
    <row r="344" spans="52:52" x14ac:dyDescent="0.25">
      <c r="AZ344" t="s">
        <v>558</v>
      </c>
    </row>
    <row r="345" spans="52:52" x14ac:dyDescent="0.25">
      <c r="AZ345" t="s">
        <v>559</v>
      </c>
    </row>
    <row r="346" spans="52:52" x14ac:dyDescent="0.25">
      <c r="AZ346" t="s">
        <v>560</v>
      </c>
    </row>
    <row r="347" spans="52:52" x14ac:dyDescent="0.25">
      <c r="AZ347" t="s">
        <v>561</v>
      </c>
    </row>
    <row r="348" spans="52:52" x14ac:dyDescent="0.25">
      <c r="AZ348" t="s">
        <v>562</v>
      </c>
    </row>
    <row r="349" spans="52:52" x14ac:dyDescent="0.25">
      <c r="AZ349" t="s">
        <v>563</v>
      </c>
    </row>
    <row r="350" spans="52:52" x14ac:dyDescent="0.25">
      <c r="AZ350" t="s">
        <v>564</v>
      </c>
    </row>
    <row r="351" spans="52:52" x14ac:dyDescent="0.25">
      <c r="AZ351" t="s">
        <v>565</v>
      </c>
    </row>
    <row r="352" spans="52:52" x14ac:dyDescent="0.25">
      <c r="AZ352" t="s">
        <v>566</v>
      </c>
    </row>
    <row r="353" spans="52:52" x14ac:dyDescent="0.25">
      <c r="AZ353" t="s">
        <v>567</v>
      </c>
    </row>
    <row r="354" spans="52:52" x14ac:dyDescent="0.25">
      <c r="AZ354" t="s">
        <v>568</v>
      </c>
    </row>
    <row r="355" spans="52:52" x14ac:dyDescent="0.25">
      <c r="AZ355" t="s">
        <v>569</v>
      </c>
    </row>
    <row r="356" spans="52:52" x14ac:dyDescent="0.25">
      <c r="AZ356" t="s">
        <v>570</v>
      </c>
    </row>
    <row r="357" spans="52:52" x14ac:dyDescent="0.25">
      <c r="AZ357" t="s">
        <v>571</v>
      </c>
    </row>
    <row r="358" spans="52:52" x14ac:dyDescent="0.25">
      <c r="AZ358" t="s">
        <v>572</v>
      </c>
    </row>
    <row r="359" spans="52:52" x14ac:dyDescent="0.25">
      <c r="AZ359" t="s">
        <v>573</v>
      </c>
    </row>
    <row r="360" spans="52:52" x14ac:dyDescent="0.25">
      <c r="AZ360" t="s">
        <v>574</v>
      </c>
    </row>
    <row r="361" spans="52:52" x14ac:dyDescent="0.25">
      <c r="AZ361" t="s">
        <v>575</v>
      </c>
    </row>
    <row r="362" spans="52:52" x14ac:dyDescent="0.25">
      <c r="AZ362" t="s">
        <v>576</v>
      </c>
    </row>
    <row r="363" spans="52:52" x14ac:dyDescent="0.25">
      <c r="AZ363" t="s">
        <v>577</v>
      </c>
    </row>
    <row r="364" spans="52:52" x14ac:dyDescent="0.25">
      <c r="AZ364" t="s">
        <v>578</v>
      </c>
    </row>
    <row r="365" spans="52:52" x14ac:dyDescent="0.25">
      <c r="AZ365" t="s">
        <v>579</v>
      </c>
    </row>
    <row r="366" spans="52:52" x14ac:dyDescent="0.25">
      <c r="AZ366" t="s">
        <v>580</v>
      </c>
    </row>
    <row r="367" spans="52:52" x14ac:dyDescent="0.25">
      <c r="AZ367" t="s">
        <v>581</v>
      </c>
    </row>
    <row r="368" spans="52:52" x14ac:dyDescent="0.25">
      <c r="AZ368" t="s">
        <v>582</v>
      </c>
    </row>
    <row r="369" spans="52:52" x14ac:dyDescent="0.25">
      <c r="AZ369" t="s">
        <v>583</v>
      </c>
    </row>
    <row r="370" spans="52:52" x14ac:dyDescent="0.25">
      <c r="AZ370" t="s">
        <v>584</v>
      </c>
    </row>
    <row r="371" spans="52:52" x14ac:dyDescent="0.25">
      <c r="AZ371" t="s">
        <v>585</v>
      </c>
    </row>
    <row r="372" spans="52:52" x14ac:dyDescent="0.25">
      <c r="AZ372" t="s">
        <v>586</v>
      </c>
    </row>
    <row r="373" spans="52:52" x14ac:dyDescent="0.25">
      <c r="AZ373" t="s">
        <v>587</v>
      </c>
    </row>
    <row r="374" spans="52:52" x14ac:dyDescent="0.25">
      <c r="AZ374" t="s">
        <v>588</v>
      </c>
    </row>
    <row r="375" spans="52:52" x14ac:dyDescent="0.25">
      <c r="AZ375" t="s">
        <v>589</v>
      </c>
    </row>
    <row r="376" spans="52:52" x14ac:dyDescent="0.25">
      <c r="AZ376" t="s">
        <v>590</v>
      </c>
    </row>
    <row r="377" spans="52:52" x14ac:dyDescent="0.25">
      <c r="AZ377" t="s">
        <v>591</v>
      </c>
    </row>
    <row r="378" spans="52:52" x14ac:dyDescent="0.25">
      <c r="AZ378" t="s">
        <v>592</v>
      </c>
    </row>
    <row r="379" spans="52:52" x14ac:dyDescent="0.25">
      <c r="AZ379" t="s">
        <v>593</v>
      </c>
    </row>
    <row r="380" spans="52:52" x14ac:dyDescent="0.25">
      <c r="AZ380" t="s">
        <v>594</v>
      </c>
    </row>
    <row r="381" spans="52:52" x14ac:dyDescent="0.25">
      <c r="AZ381" t="s">
        <v>595</v>
      </c>
    </row>
    <row r="382" spans="52:52" x14ac:dyDescent="0.25">
      <c r="AZ382" t="s">
        <v>596</v>
      </c>
    </row>
    <row r="383" spans="52:52" x14ac:dyDescent="0.25">
      <c r="AZ383" t="s">
        <v>597</v>
      </c>
    </row>
    <row r="384" spans="52:52" x14ac:dyDescent="0.25">
      <c r="AZ384" t="s">
        <v>598</v>
      </c>
    </row>
    <row r="385" spans="52:52" x14ac:dyDescent="0.25">
      <c r="AZ385" t="s">
        <v>599</v>
      </c>
    </row>
    <row r="386" spans="52:52" x14ac:dyDescent="0.25">
      <c r="AZ386" t="s">
        <v>600</v>
      </c>
    </row>
    <row r="387" spans="52:52" x14ac:dyDescent="0.25">
      <c r="AZ387" t="s">
        <v>601</v>
      </c>
    </row>
    <row r="388" spans="52:52" x14ac:dyDescent="0.25">
      <c r="AZ388" t="s">
        <v>602</v>
      </c>
    </row>
    <row r="389" spans="52:52" x14ac:dyDescent="0.25">
      <c r="AZ389" t="s">
        <v>603</v>
      </c>
    </row>
    <row r="390" spans="52:52" x14ac:dyDescent="0.25">
      <c r="AZ390" t="s">
        <v>604</v>
      </c>
    </row>
    <row r="391" spans="52:52" x14ac:dyDescent="0.25">
      <c r="AZ391" t="s">
        <v>605</v>
      </c>
    </row>
    <row r="392" spans="52:52" x14ac:dyDescent="0.25">
      <c r="AZ392" t="s">
        <v>606</v>
      </c>
    </row>
    <row r="393" spans="52:52" x14ac:dyDescent="0.25">
      <c r="AZ393" t="s">
        <v>607</v>
      </c>
    </row>
    <row r="394" spans="52:52" x14ac:dyDescent="0.25">
      <c r="AZ394" t="s">
        <v>608</v>
      </c>
    </row>
    <row r="395" spans="52:52" x14ac:dyDescent="0.25">
      <c r="AZ395" t="s">
        <v>609</v>
      </c>
    </row>
    <row r="396" spans="52:52" x14ac:dyDescent="0.25">
      <c r="AZ396" t="s">
        <v>610</v>
      </c>
    </row>
    <row r="397" spans="52:52" x14ac:dyDescent="0.25">
      <c r="AZ397" t="s">
        <v>611</v>
      </c>
    </row>
    <row r="398" spans="52:52" x14ac:dyDescent="0.25">
      <c r="AZ398" t="s">
        <v>612</v>
      </c>
    </row>
    <row r="399" spans="52:52" x14ac:dyDescent="0.25">
      <c r="AZ399" t="s">
        <v>613</v>
      </c>
    </row>
    <row r="400" spans="52:52" x14ac:dyDescent="0.25">
      <c r="AZ400" t="s">
        <v>614</v>
      </c>
    </row>
    <row r="401" spans="52:52" x14ac:dyDescent="0.25">
      <c r="AZ401" t="s">
        <v>615</v>
      </c>
    </row>
    <row r="402" spans="52:52" x14ac:dyDescent="0.25">
      <c r="AZ402" t="s">
        <v>616</v>
      </c>
    </row>
    <row r="403" spans="52:52" x14ac:dyDescent="0.25">
      <c r="AZ403" t="s">
        <v>617</v>
      </c>
    </row>
    <row r="404" spans="52:52" x14ac:dyDescent="0.25">
      <c r="AZ404" t="s">
        <v>618</v>
      </c>
    </row>
    <row r="405" spans="52:52" x14ac:dyDescent="0.25">
      <c r="AZ405" t="s">
        <v>619</v>
      </c>
    </row>
    <row r="406" spans="52:52" x14ac:dyDescent="0.25">
      <c r="AZ406" t="s">
        <v>620</v>
      </c>
    </row>
    <row r="407" spans="52:52" x14ac:dyDescent="0.25">
      <c r="AZ407" t="s">
        <v>621</v>
      </c>
    </row>
    <row r="408" spans="52:52" x14ac:dyDescent="0.25">
      <c r="AZ408" t="s">
        <v>622</v>
      </c>
    </row>
    <row r="409" spans="52:52" x14ac:dyDescent="0.25">
      <c r="AZ409" t="s">
        <v>623</v>
      </c>
    </row>
    <row r="410" spans="52:52" x14ac:dyDescent="0.25">
      <c r="AZ410" t="s">
        <v>624</v>
      </c>
    </row>
    <row r="411" spans="52:52" x14ac:dyDescent="0.25">
      <c r="AZ411" t="s">
        <v>625</v>
      </c>
    </row>
    <row r="412" spans="52:52" x14ac:dyDescent="0.25">
      <c r="AZ412" t="s">
        <v>626</v>
      </c>
    </row>
    <row r="413" spans="52:52" x14ac:dyDescent="0.25">
      <c r="AZ413" t="s">
        <v>627</v>
      </c>
    </row>
    <row r="414" spans="52:52" x14ac:dyDescent="0.25">
      <c r="AZ414" t="s">
        <v>628</v>
      </c>
    </row>
    <row r="415" spans="52:52" x14ac:dyDescent="0.25">
      <c r="AZ415" t="s">
        <v>629</v>
      </c>
    </row>
    <row r="416" spans="52:52" x14ac:dyDescent="0.25">
      <c r="AZ416" t="s">
        <v>630</v>
      </c>
    </row>
    <row r="417" spans="52:52" x14ac:dyDescent="0.25">
      <c r="AZ417" t="s">
        <v>631</v>
      </c>
    </row>
    <row r="418" spans="52:52" x14ac:dyDescent="0.25">
      <c r="AZ418" t="s">
        <v>632</v>
      </c>
    </row>
    <row r="419" spans="52:52" x14ac:dyDescent="0.25">
      <c r="AZ419" t="s">
        <v>633</v>
      </c>
    </row>
    <row r="420" spans="52:52" x14ac:dyDescent="0.25">
      <c r="AZ420" t="s">
        <v>634</v>
      </c>
    </row>
    <row r="421" spans="52:52" x14ac:dyDescent="0.25">
      <c r="AZ421" t="s">
        <v>635</v>
      </c>
    </row>
    <row r="422" spans="52:52" x14ac:dyDescent="0.25">
      <c r="AZ422" t="s">
        <v>636</v>
      </c>
    </row>
    <row r="423" spans="52:52" x14ac:dyDescent="0.25">
      <c r="AZ423" t="s">
        <v>637</v>
      </c>
    </row>
    <row r="424" spans="52:52" x14ac:dyDescent="0.25">
      <c r="AZ424" t="s">
        <v>638</v>
      </c>
    </row>
    <row r="425" spans="52:52" x14ac:dyDescent="0.25">
      <c r="AZ425" t="s">
        <v>639</v>
      </c>
    </row>
    <row r="426" spans="52:52" x14ac:dyDescent="0.25">
      <c r="AZ426" t="s">
        <v>640</v>
      </c>
    </row>
    <row r="427" spans="52:52" x14ac:dyDescent="0.25">
      <c r="AZ427" t="s">
        <v>641</v>
      </c>
    </row>
    <row r="428" spans="52:52" x14ac:dyDescent="0.25">
      <c r="AZ428" t="s">
        <v>642</v>
      </c>
    </row>
    <row r="429" spans="52:52" x14ac:dyDescent="0.25">
      <c r="AZ429" t="s">
        <v>643</v>
      </c>
    </row>
    <row r="430" spans="52:52" x14ac:dyDescent="0.25">
      <c r="AZ430" t="s">
        <v>644</v>
      </c>
    </row>
    <row r="431" spans="52:52" x14ac:dyDescent="0.25">
      <c r="AZ431" t="s">
        <v>645</v>
      </c>
    </row>
    <row r="432" spans="52:52" x14ac:dyDescent="0.25">
      <c r="AZ432" t="s">
        <v>646</v>
      </c>
    </row>
    <row r="433" spans="52:52" x14ac:dyDescent="0.25">
      <c r="AZ433" t="s">
        <v>647</v>
      </c>
    </row>
    <row r="434" spans="52:52" x14ac:dyDescent="0.25">
      <c r="AZ434" t="s">
        <v>648</v>
      </c>
    </row>
    <row r="435" spans="52:52" x14ac:dyDescent="0.25">
      <c r="AZ435" t="s">
        <v>649</v>
      </c>
    </row>
    <row r="436" spans="52:52" x14ac:dyDescent="0.25">
      <c r="AZ436" t="s">
        <v>650</v>
      </c>
    </row>
    <row r="437" spans="52:52" x14ac:dyDescent="0.25">
      <c r="AZ437" t="s">
        <v>651</v>
      </c>
    </row>
    <row r="438" spans="52:52" x14ac:dyDescent="0.25">
      <c r="AZ438" t="s">
        <v>652</v>
      </c>
    </row>
    <row r="439" spans="52:52" x14ac:dyDescent="0.25">
      <c r="AZ439" t="s">
        <v>653</v>
      </c>
    </row>
    <row r="440" spans="52:52" x14ac:dyDescent="0.25">
      <c r="AZ440" t="s">
        <v>654</v>
      </c>
    </row>
    <row r="441" spans="52:52" x14ac:dyDescent="0.25">
      <c r="AZ441" t="s">
        <v>655</v>
      </c>
    </row>
    <row r="442" spans="52:52" x14ac:dyDescent="0.25">
      <c r="AZ442" t="s">
        <v>656</v>
      </c>
    </row>
    <row r="443" spans="52:52" x14ac:dyDescent="0.25">
      <c r="AZ443" t="s">
        <v>657</v>
      </c>
    </row>
    <row r="444" spans="52:52" x14ac:dyDescent="0.25">
      <c r="AZ444" t="s">
        <v>658</v>
      </c>
    </row>
    <row r="445" spans="52:52" x14ac:dyDescent="0.25">
      <c r="AZ445" t="s">
        <v>659</v>
      </c>
    </row>
    <row r="446" spans="52:52" x14ac:dyDescent="0.25">
      <c r="AZ446" t="s">
        <v>660</v>
      </c>
    </row>
    <row r="447" spans="52:52" x14ac:dyDescent="0.25">
      <c r="AZ447" t="s">
        <v>661</v>
      </c>
    </row>
    <row r="448" spans="52:52" x14ac:dyDescent="0.25">
      <c r="AZ448" t="s">
        <v>662</v>
      </c>
    </row>
    <row r="449" spans="52:52" x14ac:dyDescent="0.25">
      <c r="AZ449" t="s">
        <v>663</v>
      </c>
    </row>
    <row r="450" spans="52:52" x14ac:dyDescent="0.25">
      <c r="AZ450" t="s">
        <v>664</v>
      </c>
    </row>
    <row r="451" spans="52:52" x14ac:dyDescent="0.25">
      <c r="AZ451" t="s">
        <v>665</v>
      </c>
    </row>
    <row r="452" spans="52:52" x14ac:dyDescent="0.25">
      <c r="AZ452" t="s">
        <v>666</v>
      </c>
    </row>
    <row r="453" spans="52:52" x14ac:dyDescent="0.25">
      <c r="AZ453" t="s">
        <v>667</v>
      </c>
    </row>
    <row r="454" spans="52:52" x14ac:dyDescent="0.25">
      <c r="AZ454" t="s">
        <v>668</v>
      </c>
    </row>
    <row r="455" spans="52:52" x14ac:dyDescent="0.25">
      <c r="AZ455" t="s">
        <v>669</v>
      </c>
    </row>
    <row r="456" spans="52:52" x14ac:dyDescent="0.25">
      <c r="AZ456" t="s">
        <v>670</v>
      </c>
    </row>
    <row r="457" spans="52:52" x14ac:dyDescent="0.25">
      <c r="AZ457" t="s">
        <v>671</v>
      </c>
    </row>
    <row r="458" spans="52:52" x14ac:dyDescent="0.25">
      <c r="AZ458" t="s">
        <v>672</v>
      </c>
    </row>
    <row r="459" spans="52:52" x14ac:dyDescent="0.25">
      <c r="AZ459" t="s">
        <v>673</v>
      </c>
    </row>
    <row r="460" spans="52:52" x14ac:dyDescent="0.25">
      <c r="AZ460" t="s">
        <v>674</v>
      </c>
    </row>
    <row r="461" spans="52:52" x14ac:dyDescent="0.25">
      <c r="AZ461" t="s">
        <v>675</v>
      </c>
    </row>
    <row r="462" spans="52:52" x14ac:dyDescent="0.25">
      <c r="AZ462" t="s">
        <v>676</v>
      </c>
    </row>
    <row r="463" spans="52:52" x14ac:dyDescent="0.25">
      <c r="AZ463" t="s">
        <v>677</v>
      </c>
    </row>
    <row r="464" spans="52:52" x14ac:dyDescent="0.25">
      <c r="AZ464" t="s">
        <v>678</v>
      </c>
    </row>
    <row r="465" spans="52:52" x14ac:dyDescent="0.25">
      <c r="AZ465" t="s">
        <v>679</v>
      </c>
    </row>
    <row r="466" spans="52:52" x14ac:dyDescent="0.25">
      <c r="AZ466" t="s">
        <v>680</v>
      </c>
    </row>
    <row r="467" spans="52:52" x14ac:dyDescent="0.25">
      <c r="AZ467" t="s">
        <v>681</v>
      </c>
    </row>
    <row r="468" spans="52:52" x14ac:dyDescent="0.25">
      <c r="AZ468" t="s">
        <v>682</v>
      </c>
    </row>
    <row r="469" spans="52:52" x14ac:dyDescent="0.25">
      <c r="AZ469" t="s">
        <v>683</v>
      </c>
    </row>
    <row r="470" spans="52:52" x14ac:dyDescent="0.25">
      <c r="AZ470" t="s">
        <v>684</v>
      </c>
    </row>
    <row r="471" spans="52:52" x14ac:dyDescent="0.25">
      <c r="AZ471" t="s">
        <v>685</v>
      </c>
    </row>
    <row r="472" spans="52:52" x14ac:dyDescent="0.25">
      <c r="AZ472" t="s">
        <v>686</v>
      </c>
    </row>
    <row r="473" spans="52:52" x14ac:dyDescent="0.25">
      <c r="AZ473" t="s">
        <v>687</v>
      </c>
    </row>
    <row r="474" spans="52:52" x14ac:dyDescent="0.25">
      <c r="AZ474" t="s">
        <v>688</v>
      </c>
    </row>
    <row r="475" spans="52:52" x14ac:dyDescent="0.25">
      <c r="AZ475" t="s">
        <v>689</v>
      </c>
    </row>
    <row r="476" spans="52:52" x14ac:dyDescent="0.25">
      <c r="AZ476" t="s">
        <v>690</v>
      </c>
    </row>
    <row r="477" spans="52:52" x14ac:dyDescent="0.25">
      <c r="AZ477" t="s">
        <v>691</v>
      </c>
    </row>
    <row r="478" spans="52:52" x14ac:dyDescent="0.25">
      <c r="AZ478" t="s">
        <v>692</v>
      </c>
    </row>
    <row r="479" spans="52:52" x14ac:dyDescent="0.25">
      <c r="AZ479" t="s">
        <v>693</v>
      </c>
    </row>
    <row r="480" spans="52:52" x14ac:dyDescent="0.25">
      <c r="AZ480" t="s">
        <v>694</v>
      </c>
    </row>
    <row r="481" spans="52:52" x14ac:dyDescent="0.25">
      <c r="AZ481" t="s">
        <v>695</v>
      </c>
    </row>
    <row r="482" spans="52:52" x14ac:dyDescent="0.25">
      <c r="AZ482" t="s">
        <v>696</v>
      </c>
    </row>
    <row r="483" spans="52:52" x14ac:dyDescent="0.25">
      <c r="AZ483" t="s">
        <v>697</v>
      </c>
    </row>
    <row r="484" spans="52:52" x14ac:dyDescent="0.25">
      <c r="AZ484" t="s">
        <v>698</v>
      </c>
    </row>
    <row r="485" spans="52:52" x14ac:dyDescent="0.25">
      <c r="AZ485" t="s">
        <v>699</v>
      </c>
    </row>
    <row r="486" spans="52:52" x14ac:dyDescent="0.25">
      <c r="AZ486" t="s">
        <v>700</v>
      </c>
    </row>
    <row r="487" spans="52:52" x14ac:dyDescent="0.25">
      <c r="AZ487" t="s">
        <v>701</v>
      </c>
    </row>
    <row r="488" spans="52:52" x14ac:dyDescent="0.25">
      <c r="AZ488" t="s">
        <v>702</v>
      </c>
    </row>
    <row r="489" spans="52:52" x14ac:dyDescent="0.25">
      <c r="AZ489" t="s">
        <v>703</v>
      </c>
    </row>
    <row r="490" spans="52:52" x14ac:dyDescent="0.25">
      <c r="AZ490" t="s">
        <v>704</v>
      </c>
    </row>
    <row r="491" spans="52:52" x14ac:dyDescent="0.25">
      <c r="AZ491" t="s">
        <v>705</v>
      </c>
    </row>
    <row r="492" spans="52:52" x14ac:dyDescent="0.25">
      <c r="AZ492" t="s">
        <v>706</v>
      </c>
    </row>
    <row r="493" spans="52:52" x14ac:dyDescent="0.25">
      <c r="AZ493" t="s">
        <v>707</v>
      </c>
    </row>
    <row r="494" spans="52:52" x14ac:dyDescent="0.25">
      <c r="AZ494" t="s">
        <v>708</v>
      </c>
    </row>
    <row r="495" spans="52:52" x14ac:dyDescent="0.25">
      <c r="AZ495" t="s">
        <v>709</v>
      </c>
    </row>
    <row r="496" spans="52:52" x14ac:dyDescent="0.25">
      <c r="AZ496" t="s">
        <v>710</v>
      </c>
    </row>
    <row r="497" spans="52:52" x14ac:dyDescent="0.25">
      <c r="AZ497" t="s">
        <v>711</v>
      </c>
    </row>
    <row r="498" spans="52:52" x14ac:dyDescent="0.25">
      <c r="AZ498" t="s">
        <v>712</v>
      </c>
    </row>
    <row r="499" spans="52:52" x14ac:dyDescent="0.25">
      <c r="AZ499" t="s">
        <v>713</v>
      </c>
    </row>
    <row r="500" spans="52:52" x14ac:dyDescent="0.25">
      <c r="AZ500" t="s">
        <v>714</v>
      </c>
    </row>
    <row r="501" spans="52:52" x14ac:dyDescent="0.25">
      <c r="AZ501" t="s">
        <v>715</v>
      </c>
    </row>
    <row r="502" spans="52:52" x14ac:dyDescent="0.25">
      <c r="AZ502" t="s">
        <v>716</v>
      </c>
    </row>
    <row r="503" spans="52:52" x14ac:dyDescent="0.25">
      <c r="AZ503" t="s">
        <v>717</v>
      </c>
    </row>
    <row r="504" spans="52:52" x14ac:dyDescent="0.25">
      <c r="AZ504" t="s">
        <v>718</v>
      </c>
    </row>
    <row r="505" spans="52:52" x14ac:dyDescent="0.25">
      <c r="AZ505" t="s">
        <v>719</v>
      </c>
    </row>
    <row r="506" spans="52:52" x14ac:dyDescent="0.25">
      <c r="AZ506" t="s">
        <v>720</v>
      </c>
    </row>
    <row r="507" spans="52:52" x14ac:dyDescent="0.25">
      <c r="AZ507" t="s">
        <v>721</v>
      </c>
    </row>
    <row r="508" spans="52:52" x14ac:dyDescent="0.25">
      <c r="AZ508" t="s">
        <v>722</v>
      </c>
    </row>
    <row r="509" spans="52:52" x14ac:dyDescent="0.25">
      <c r="AZ509" t="s">
        <v>723</v>
      </c>
    </row>
    <row r="510" spans="52:52" x14ac:dyDescent="0.25">
      <c r="AZ510" t="s">
        <v>724</v>
      </c>
    </row>
    <row r="511" spans="52:52" x14ac:dyDescent="0.25">
      <c r="AZ511" t="s">
        <v>725</v>
      </c>
    </row>
    <row r="512" spans="52:52" x14ac:dyDescent="0.25">
      <c r="AZ512" t="s">
        <v>726</v>
      </c>
    </row>
    <row r="513" spans="52:52" x14ac:dyDescent="0.25">
      <c r="AZ513" t="s">
        <v>727</v>
      </c>
    </row>
    <row r="514" spans="52:52" x14ac:dyDescent="0.25">
      <c r="AZ514" t="s">
        <v>728</v>
      </c>
    </row>
    <row r="515" spans="52:52" x14ac:dyDescent="0.25">
      <c r="AZ515" t="s">
        <v>729</v>
      </c>
    </row>
    <row r="516" spans="52:52" x14ac:dyDescent="0.25">
      <c r="AZ516" t="s">
        <v>730</v>
      </c>
    </row>
    <row r="517" spans="52:52" x14ac:dyDescent="0.25">
      <c r="AZ517" t="s">
        <v>731</v>
      </c>
    </row>
    <row r="518" spans="52:52" x14ac:dyDescent="0.25">
      <c r="AZ518" t="s">
        <v>732</v>
      </c>
    </row>
    <row r="519" spans="52:52" x14ac:dyDescent="0.25">
      <c r="AZ519" t="s">
        <v>733</v>
      </c>
    </row>
    <row r="520" spans="52:52" x14ac:dyDescent="0.25">
      <c r="AZ520" t="s">
        <v>734</v>
      </c>
    </row>
    <row r="521" spans="52:52" x14ac:dyDescent="0.25">
      <c r="AZ521" t="s">
        <v>735</v>
      </c>
    </row>
    <row r="522" spans="52:52" x14ac:dyDescent="0.25">
      <c r="AZ522" t="s">
        <v>736</v>
      </c>
    </row>
    <row r="523" spans="52:52" x14ac:dyDescent="0.25">
      <c r="AZ523" t="s">
        <v>737</v>
      </c>
    </row>
    <row r="524" spans="52:52" x14ac:dyDescent="0.25">
      <c r="AZ524" t="s">
        <v>738</v>
      </c>
    </row>
    <row r="525" spans="52:52" x14ac:dyDescent="0.25">
      <c r="AZ525" t="s">
        <v>739</v>
      </c>
    </row>
    <row r="526" spans="52:52" x14ac:dyDescent="0.25">
      <c r="AZ526" t="s">
        <v>740</v>
      </c>
    </row>
    <row r="527" spans="52:52" x14ac:dyDescent="0.25">
      <c r="AZ527" t="s">
        <v>741</v>
      </c>
    </row>
    <row r="528" spans="52:52" x14ac:dyDescent="0.25">
      <c r="AZ528" t="s">
        <v>742</v>
      </c>
    </row>
    <row r="529" spans="52:52" x14ac:dyDescent="0.25">
      <c r="AZ529" t="s">
        <v>743</v>
      </c>
    </row>
    <row r="530" spans="52:52" x14ac:dyDescent="0.25">
      <c r="AZ530" t="s">
        <v>744</v>
      </c>
    </row>
    <row r="531" spans="52:52" x14ac:dyDescent="0.25">
      <c r="AZ531" t="s">
        <v>745</v>
      </c>
    </row>
    <row r="532" spans="52:52" x14ac:dyDescent="0.25">
      <c r="AZ532" t="s">
        <v>746</v>
      </c>
    </row>
    <row r="533" spans="52:52" x14ac:dyDescent="0.25">
      <c r="AZ533" t="s">
        <v>747</v>
      </c>
    </row>
    <row r="534" spans="52:52" x14ac:dyDescent="0.25">
      <c r="AZ534" t="s">
        <v>748</v>
      </c>
    </row>
    <row r="535" spans="52:52" x14ac:dyDescent="0.25">
      <c r="AZ535" t="s">
        <v>749</v>
      </c>
    </row>
    <row r="536" spans="52:52" x14ac:dyDescent="0.25">
      <c r="AZ536" t="s">
        <v>750</v>
      </c>
    </row>
    <row r="537" spans="52:52" x14ac:dyDescent="0.25">
      <c r="AZ537" t="s">
        <v>751</v>
      </c>
    </row>
    <row r="538" spans="52:52" x14ac:dyDescent="0.25">
      <c r="AZ538" t="s">
        <v>752</v>
      </c>
    </row>
    <row r="539" spans="52:52" x14ac:dyDescent="0.25">
      <c r="AZ539" t="s">
        <v>753</v>
      </c>
    </row>
    <row r="540" spans="52:52" x14ac:dyDescent="0.25">
      <c r="AZ540" t="s">
        <v>754</v>
      </c>
    </row>
    <row r="541" spans="52:52" x14ac:dyDescent="0.25">
      <c r="AZ541" t="s">
        <v>755</v>
      </c>
    </row>
    <row r="542" spans="52:52" x14ac:dyDescent="0.25">
      <c r="AZ542" t="s">
        <v>756</v>
      </c>
    </row>
    <row r="543" spans="52:52" x14ac:dyDescent="0.25">
      <c r="AZ543" t="s">
        <v>757</v>
      </c>
    </row>
    <row r="544" spans="52:52" x14ac:dyDescent="0.25">
      <c r="AZ544" t="s">
        <v>758</v>
      </c>
    </row>
    <row r="545" spans="52:52" x14ac:dyDescent="0.25">
      <c r="AZ545" t="s">
        <v>759</v>
      </c>
    </row>
    <row r="546" spans="52:52" x14ac:dyDescent="0.25">
      <c r="AZ546" t="s">
        <v>760</v>
      </c>
    </row>
    <row r="547" spans="52:52" x14ac:dyDescent="0.25">
      <c r="AZ547" t="s">
        <v>761</v>
      </c>
    </row>
    <row r="548" spans="52:52" x14ac:dyDescent="0.25">
      <c r="AZ548" t="s">
        <v>762</v>
      </c>
    </row>
    <row r="549" spans="52:52" x14ac:dyDescent="0.25">
      <c r="AZ549" t="s">
        <v>763</v>
      </c>
    </row>
    <row r="550" spans="52:52" x14ac:dyDescent="0.25">
      <c r="AZ550" t="s">
        <v>764</v>
      </c>
    </row>
    <row r="551" spans="52:52" x14ac:dyDescent="0.25">
      <c r="AZ551" t="s">
        <v>765</v>
      </c>
    </row>
    <row r="552" spans="52:52" x14ac:dyDescent="0.25">
      <c r="AZ552" t="s">
        <v>766</v>
      </c>
    </row>
    <row r="553" spans="52:52" x14ac:dyDescent="0.25">
      <c r="AZ553" t="s">
        <v>767</v>
      </c>
    </row>
    <row r="554" spans="52:52" x14ac:dyDescent="0.25">
      <c r="AZ554" t="s">
        <v>768</v>
      </c>
    </row>
    <row r="555" spans="52:52" x14ac:dyDescent="0.25">
      <c r="AZ555" t="s">
        <v>769</v>
      </c>
    </row>
    <row r="556" spans="52:52" x14ac:dyDescent="0.25">
      <c r="AZ556" t="s">
        <v>770</v>
      </c>
    </row>
    <row r="557" spans="52:52" x14ac:dyDescent="0.25">
      <c r="AZ557" t="s">
        <v>771</v>
      </c>
    </row>
    <row r="558" spans="52:52" x14ac:dyDescent="0.25">
      <c r="AZ558" t="s">
        <v>772</v>
      </c>
    </row>
    <row r="559" spans="52:52" x14ac:dyDescent="0.25">
      <c r="AZ559" t="s">
        <v>773</v>
      </c>
    </row>
    <row r="560" spans="52:52" x14ac:dyDescent="0.25">
      <c r="AZ560" t="s">
        <v>774</v>
      </c>
    </row>
    <row r="561" spans="52:52" x14ac:dyDescent="0.25">
      <c r="AZ561" t="s">
        <v>775</v>
      </c>
    </row>
    <row r="562" spans="52:52" x14ac:dyDescent="0.25">
      <c r="AZ562" t="s">
        <v>776</v>
      </c>
    </row>
    <row r="563" spans="52:52" x14ac:dyDescent="0.25">
      <c r="AZ563" t="s">
        <v>777</v>
      </c>
    </row>
    <row r="564" spans="52:52" x14ac:dyDescent="0.25">
      <c r="AZ564" t="s">
        <v>778</v>
      </c>
    </row>
    <row r="565" spans="52:52" x14ac:dyDescent="0.25">
      <c r="AZ565" t="s">
        <v>779</v>
      </c>
    </row>
    <row r="566" spans="52:52" x14ac:dyDescent="0.25">
      <c r="AZ566" t="s">
        <v>780</v>
      </c>
    </row>
    <row r="567" spans="52:52" x14ac:dyDescent="0.25">
      <c r="AZ567" t="s">
        <v>781</v>
      </c>
    </row>
    <row r="568" spans="52:52" x14ac:dyDescent="0.25">
      <c r="AZ568" t="s">
        <v>782</v>
      </c>
    </row>
    <row r="569" spans="52:52" x14ac:dyDescent="0.25">
      <c r="AZ569" t="s">
        <v>783</v>
      </c>
    </row>
    <row r="570" spans="52:52" x14ac:dyDescent="0.25">
      <c r="AZ570" t="s">
        <v>784</v>
      </c>
    </row>
    <row r="571" spans="52:52" x14ac:dyDescent="0.25">
      <c r="AZ571" t="s">
        <v>785</v>
      </c>
    </row>
    <row r="572" spans="52:52" x14ac:dyDescent="0.25">
      <c r="AZ572" t="s">
        <v>786</v>
      </c>
    </row>
    <row r="573" spans="52:52" x14ac:dyDescent="0.25">
      <c r="AZ573" t="s">
        <v>787</v>
      </c>
    </row>
    <row r="574" spans="52:52" x14ac:dyDescent="0.25">
      <c r="AZ574" t="s">
        <v>788</v>
      </c>
    </row>
    <row r="575" spans="52:52" x14ac:dyDescent="0.25">
      <c r="AZ575" t="s">
        <v>789</v>
      </c>
    </row>
    <row r="576" spans="52:52" x14ac:dyDescent="0.25">
      <c r="AZ576" t="s">
        <v>790</v>
      </c>
    </row>
    <row r="577" spans="52:52" x14ac:dyDescent="0.25">
      <c r="AZ577" t="s">
        <v>791</v>
      </c>
    </row>
    <row r="578" spans="52:52" x14ac:dyDescent="0.25">
      <c r="AZ578" t="s">
        <v>792</v>
      </c>
    </row>
    <row r="579" spans="52:52" x14ac:dyDescent="0.25">
      <c r="AZ579" t="s">
        <v>793</v>
      </c>
    </row>
    <row r="580" spans="52:52" x14ac:dyDescent="0.25">
      <c r="AZ580" t="s">
        <v>794</v>
      </c>
    </row>
    <row r="581" spans="52:52" x14ac:dyDescent="0.25">
      <c r="AZ581" t="s">
        <v>795</v>
      </c>
    </row>
    <row r="582" spans="52:52" x14ac:dyDescent="0.25">
      <c r="AZ582" t="s">
        <v>796</v>
      </c>
    </row>
    <row r="583" spans="52:52" x14ac:dyDescent="0.25">
      <c r="AZ583" t="s">
        <v>797</v>
      </c>
    </row>
    <row r="584" spans="52:52" x14ac:dyDescent="0.25">
      <c r="AZ584" t="s">
        <v>798</v>
      </c>
    </row>
    <row r="585" spans="52:52" x14ac:dyDescent="0.25">
      <c r="AZ585" t="s">
        <v>799</v>
      </c>
    </row>
    <row r="586" spans="52:52" x14ac:dyDescent="0.25">
      <c r="AZ586" t="s">
        <v>800</v>
      </c>
    </row>
    <row r="587" spans="52:52" x14ac:dyDescent="0.25">
      <c r="AZ587" t="s">
        <v>801</v>
      </c>
    </row>
    <row r="588" spans="52:52" x14ac:dyDescent="0.25">
      <c r="AZ588" t="s">
        <v>802</v>
      </c>
    </row>
    <row r="589" spans="52:52" x14ac:dyDescent="0.25">
      <c r="AZ589" t="s">
        <v>803</v>
      </c>
    </row>
    <row r="590" spans="52:52" x14ac:dyDescent="0.25">
      <c r="AZ590" t="s">
        <v>804</v>
      </c>
    </row>
    <row r="591" spans="52:52" x14ac:dyDescent="0.25">
      <c r="AZ591" t="s">
        <v>805</v>
      </c>
    </row>
    <row r="592" spans="52:52" x14ac:dyDescent="0.25">
      <c r="AZ592" t="s">
        <v>806</v>
      </c>
    </row>
    <row r="593" spans="52:52" x14ac:dyDescent="0.25">
      <c r="AZ593" t="s">
        <v>807</v>
      </c>
    </row>
    <row r="594" spans="52:52" x14ac:dyDescent="0.25">
      <c r="AZ594" t="s">
        <v>808</v>
      </c>
    </row>
    <row r="595" spans="52:52" x14ac:dyDescent="0.25">
      <c r="AZ595" t="s">
        <v>809</v>
      </c>
    </row>
    <row r="596" spans="52:52" x14ac:dyDescent="0.25">
      <c r="AZ596" t="s">
        <v>810</v>
      </c>
    </row>
    <row r="597" spans="52:52" x14ac:dyDescent="0.25">
      <c r="AZ597" t="s">
        <v>811</v>
      </c>
    </row>
    <row r="598" spans="52:52" x14ac:dyDescent="0.25">
      <c r="AZ598" t="s">
        <v>812</v>
      </c>
    </row>
    <row r="599" spans="52:52" x14ac:dyDescent="0.25">
      <c r="AZ599" t="s">
        <v>813</v>
      </c>
    </row>
    <row r="600" spans="52:52" x14ac:dyDescent="0.25">
      <c r="AZ600" t="s">
        <v>814</v>
      </c>
    </row>
    <row r="601" spans="52:52" x14ac:dyDescent="0.25">
      <c r="AZ601" t="s">
        <v>815</v>
      </c>
    </row>
    <row r="602" spans="52:52" x14ac:dyDescent="0.25">
      <c r="AZ602" t="s">
        <v>816</v>
      </c>
    </row>
    <row r="603" spans="52:52" x14ac:dyDescent="0.25">
      <c r="AZ603" t="s">
        <v>817</v>
      </c>
    </row>
    <row r="604" spans="52:52" x14ac:dyDescent="0.25">
      <c r="AZ604" t="s">
        <v>818</v>
      </c>
    </row>
    <row r="605" spans="52:52" x14ac:dyDescent="0.25">
      <c r="AZ605" t="s">
        <v>819</v>
      </c>
    </row>
    <row r="606" spans="52:52" x14ac:dyDescent="0.25">
      <c r="AZ606" t="s">
        <v>820</v>
      </c>
    </row>
    <row r="607" spans="52:52" x14ac:dyDescent="0.25">
      <c r="AZ607" t="s">
        <v>821</v>
      </c>
    </row>
    <row r="608" spans="52:52" x14ac:dyDescent="0.25">
      <c r="AZ608" t="s">
        <v>822</v>
      </c>
    </row>
    <row r="609" spans="52:52" x14ac:dyDescent="0.25">
      <c r="AZ609" t="s">
        <v>823</v>
      </c>
    </row>
    <row r="610" spans="52:52" x14ac:dyDescent="0.25">
      <c r="AZ610" t="s">
        <v>824</v>
      </c>
    </row>
    <row r="611" spans="52:52" x14ac:dyDescent="0.25">
      <c r="AZ611" t="s">
        <v>825</v>
      </c>
    </row>
    <row r="612" spans="52:52" x14ac:dyDescent="0.25">
      <c r="AZ612" t="s">
        <v>826</v>
      </c>
    </row>
    <row r="613" spans="52:52" x14ac:dyDescent="0.25">
      <c r="AZ613" t="s">
        <v>827</v>
      </c>
    </row>
    <row r="614" spans="52:52" x14ac:dyDescent="0.25">
      <c r="AZ614" t="s">
        <v>828</v>
      </c>
    </row>
    <row r="615" spans="52:52" x14ac:dyDescent="0.25">
      <c r="AZ615" t="s">
        <v>829</v>
      </c>
    </row>
    <row r="616" spans="52:52" x14ac:dyDescent="0.25">
      <c r="AZ616" t="s">
        <v>830</v>
      </c>
    </row>
    <row r="617" spans="52:52" x14ac:dyDescent="0.25">
      <c r="AZ617" t="s">
        <v>831</v>
      </c>
    </row>
    <row r="618" spans="52:52" x14ac:dyDescent="0.25">
      <c r="AZ618" t="s">
        <v>832</v>
      </c>
    </row>
    <row r="619" spans="52:52" x14ac:dyDescent="0.25">
      <c r="AZ619" t="s">
        <v>833</v>
      </c>
    </row>
    <row r="620" spans="52:52" x14ac:dyDescent="0.25">
      <c r="AZ620" t="s">
        <v>834</v>
      </c>
    </row>
    <row r="621" spans="52:52" x14ac:dyDescent="0.25">
      <c r="AZ621" t="s">
        <v>835</v>
      </c>
    </row>
    <row r="622" spans="52:52" x14ac:dyDescent="0.25">
      <c r="AZ622" t="s">
        <v>836</v>
      </c>
    </row>
    <row r="623" spans="52:52" x14ac:dyDescent="0.25">
      <c r="AZ623" t="s">
        <v>837</v>
      </c>
    </row>
    <row r="624" spans="52:52" x14ac:dyDescent="0.25">
      <c r="AZ624" t="s">
        <v>838</v>
      </c>
    </row>
    <row r="625" spans="52:52" x14ac:dyDescent="0.25">
      <c r="AZ625" t="s">
        <v>839</v>
      </c>
    </row>
    <row r="626" spans="52:52" x14ac:dyDescent="0.25">
      <c r="AZ626" t="s">
        <v>840</v>
      </c>
    </row>
    <row r="627" spans="52:52" x14ac:dyDescent="0.25">
      <c r="AZ627" t="s">
        <v>841</v>
      </c>
    </row>
    <row r="628" spans="52:52" x14ac:dyDescent="0.25">
      <c r="AZ628" t="s">
        <v>842</v>
      </c>
    </row>
    <row r="629" spans="52:52" x14ac:dyDescent="0.25">
      <c r="AZ629" t="s">
        <v>843</v>
      </c>
    </row>
    <row r="630" spans="52:52" x14ac:dyDescent="0.25">
      <c r="AZ630" t="s">
        <v>844</v>
      </c>
    </row>
    <row r="631" spans="52:52" x14ac:dyDescent="0.25">
      <c r="AZ631" t="s">
        <v>845</v>
      </c>
    </row>
    <row r="632" spans="52:52" x14ac:dyDescent="0.25">
      <c r="AZ632" t="s">
        <v>846</v>
      </c>
    </row>
    <row r="633" spans="52:52" x14ac:dyDescent="0.25">
      <c r="AZ633" t="s">
        <v>847</v>
      </c>
    </row>
    <row r="634" spans="52:52" x14ac:dyDescent="0.25">
      <c r="AZ634" t="s">
        <v>848</v>
      </c>
    </row>
    <row r="635" spans="52:52" x14ac:dyDescent="0.25">
      <c r="AZ635" t="s">
        <v>849</v>
      </c>
    </row>
    <row r="636" spans="52:52" x14ac:dyDescent="0.25">
      <c r="AZ636" t="s">
        <v>850</v>
      </c>
    </row>
    <row r="637" spans="52:52" x14ac:dyDescent="0.25">
      <c r="AZ637" t="s">
        <v>851</v>
      </c>
    </row>
    <row r="638" spans="52:52" x14ac:dyDescent="0.25">
      <c r="AZ638" t="s">
        <v>852</v>
      </c>
    </row>
    <row r="639" spans="52:52" x14ac:dyDescent="0.25">
      <c r="AZ639" t="s">
        <v>853</v>
      </c>
    </row>
    <row r="640" spans="52:52" x14ac:dyDescent="0.25">
      <c r="AZ640" t="s">
        <v>854</v>
      </c>
    </row>
    <row r="641" spans="52:52" x14ac:dyDescent="0.25">
      <c r="AZ641" t="s">
        <v>855</v>
      </c>
    </row>
    <row r="642" spans="52:52" x14ac:dyDescent="0.25">
      <c r="AZ642" t="s">
        <v>856</v>
      </c>
    </row>
    <row r="643" spans="52:52" x14ac:dyDescent="0.25">
      <c r="AZ643" t="s">
        <v>857</v>
      </c>
    </row>
    <row r="644" spans="52:52" x14ac:dyDescent="0.25">
      <c r="AZ644" t="s">
        <v>858</v>
      </c>
    </row>
    <row r="645" spans="52:52" x14ac:dyDescent="0.25">
      <c r="AZ645" t="s">
        <v>859</v>
      </c>
    </row>
    <row r="646" spans="52:52" x14ac:dyDescent="0.25">
      <c r="AZ646" t="s">
        <v>860</v>
      </c>
    </row>
    <row r="647" spans="52:52" x14ac:dyDescent="0.25">
      <c r="AZ647" t="s">
        <v>861</v>
      </c>
    </row>
    <row r="648" spans="52:52" x14ac:dyDescent="0.25">
      <c r="AZ648" t="s">
        <v>862</v>
      </c>
    </row>
    <row r="649" spans="52:52" x14ac:dyDescent="0.25">
      <c r="AZ649" t="s">
        <v>863</v>
      </c>
    </row>
    <row r="650" spans="52:52" x14ac:dyDescent="0.25">
      <c r="AZ650" t="s">
        <v>864</v>
      </c>
    </row>
    <row r="651" spans="52:52" x14ac:dyDescent="0.25">
      <c r="AZ651" t="s">
        <v>865</v>
      </c>
    </row>
    <row r="652" spans="52:52" x14ac:dyDescent="0.25">
      <c r="AZ652" t="s">
        <v>866</v>
      </c>
    </row>
    <row r="653" spans="52:52" x14ac:dyDescent="0.25">
      <c r="AZ653" t="s">
        <v>867</v>
      </c>
    </row>
    <row r="654" spans="52:52" x14ac:dyDescent="0.25">
      <c r="AZ654" t="s">
        <v>868</v>
      </c>
    </row>
    <row r="655" spans="52:52" x14ac:dyDescent="0.25">
      <c r="AZ655" t="s">
        <v>869</v>
      </c>
    </row>
    <row r="656" spans="52:52" x14ac:dyDescent="0.25">
      <c r="AZ656" t="s">
        <v>870</v>
      </c>
    </row>
    <row r="657" spans="52:52" x14ac:dyDescent="0.25">
      <c r="AZ657" t="s">
        <v>871</v>
      </c>
    </row>
    <row r="658" spans="52:52" x14ac:dyDescent="0.25">
      <c r="AZ658" t="s">
        <v>872</v>
      </c>
    </row>
    <row r="659" spans="52:52" x14ac:dyDescent="0.25">
      <c r="AZ659" t="s">
        <v>873</v>
      </c>
    </row>
    <row r="660" spans="52:52" x14ac:dyDescent="0.25">
      <c r="AZ660" t="s">
        <v>874</v>
      </c>
    </row>
    <row r="661" spans="52:52" x14ac:dyDescent="0.25">
      <c r="AZ661" t="s">
        <v>875</v>
      </c>
    </row>
    <row r="662" spans="52:52" x14ac:dyDescent="0.25">
      <c r="AZ662" t="s">
        <v>876</v>
      </c>
    </row>
    <row r="663" spans="52:52" x14ac:dyDescent="0.25">
      <c r="AZ663" t="s">
        <v>877</v>
      </c>
    </row>
    <row r="664" spans="52:52" x14ac:dyDescent="0.25">
      <c r="AZ664" t="s">
        <v>878</v>
      </c>
    </row>
    <row r="665" spans="52:52" x14ac:dyDescent="0.25">
      <c r="AZ665" t="s">
        <v>879</v>
      </c>
    </row>
    <row r="666" spans="52:52" x14ac:dyDescent="0.25">
      <c r="AZ666" t="s">
        <v>880</v>
      </c>
    </row>
    <row r="667" spans="52:52" x14ac:dyDescent="0.25">
      <c r="AZ667" t="s">
        <v>881</v>
      </c>
    </row>
    <row r="668" spans="52:52" x14ac:dyDescent="0.25">
      <c r="AZ668" t="s">
        <v>882</v>
      </c>
    </row>
    <row r="669" spans="52:52" x14ac:dyDescent="0.25">
      <c r="AZ669" t="s">
        <v>883</v>
      </c>
    </row>
    <row r="670" spans="52:52" x14ac:dyDescent="0.25">
      <c r="AZ670" t="s">
        <v>884</v>
      </c>
    </row>
    <row r="671" spans="52:52" x14ac:dyDescent="0.25">
      <c r="AZ671" t="s">
        <v>885</v>
      </c>
    </row>
    <row r="672" spans="52:52" x14ac:dyDescent="0.25">
      <c r="AZ672" t="s">
        <v>886</v>
      </c>
    </row>
    <row r="673" spans="52:52" x14ac:dyDescent="0.25">
      <c r="AZ673" t="s">
        <v>887</v>
      </c>
    </row>
    <row r="674" spans="52:52" x14ac:dyDescent="0.25">
      <c r="AZ674" t="s">
        <v>888</v>
      </c>
    </row>
    <row r="675" spans="52:52" x14ac:dyDescent="0.25">
      <c r="AZ675" t="s">
        <v>889</v>
      </c>
    </row>
    <row r="676" spans="52:52" x14ac:dyDescent="0.25">
      <c r="AZ676" t="s">
        <v>890</v>
      </c>
    </row>
    <row r="677" spans="52:52" x14ac:dyDescent="0.25">
      <c r="AZ677" t="s">
        <v>891</v>
      </c>
    </row>
    <row r="678" spans="52:52" x14ac:dyDescent="0.25">
      <c r="AZ678" t="s">
        <v>892</v>
      </c>
    </row>
    <row r="679" spans="52:52" x14ac:dyDescent="0.25">
      <c r="AZ679" t="s">
        <v>893</v>
      </c>
    </row>
    <row r="680" spans="52:52" x14ac:dyDescent="0.25">
      <c r="AZ680" t="s">
        <v>894</v>
      </c>
    </row>
    <row r="681" spans="52:52" x14ac:dyDescent="0.25">
      <c r="AZ681" t="s">
        <v>895</v>
      </c>
    </row>
    <row r="682" spans="52:52" x14ac:dyDescent="0.25">
      <c r="AZ682" t="s">
        <v>896</v>
      </c>
    </row>
    <row r="683" spans="52:52" x14ac:dyDescent="0.25">
      <c r="AZ683" t="s">
        <v>897</v>
      </c>
    </row>
    <row r="684" spans="52:52" x14ac:dyDescent="0.25">
      <c r="AZ684" t="s">
        <v>898</v>
      </c>
    </row>
    <row r="685" spans="52:52" x14ac:dyDescent="0.25">
      <c r="AZ685" t="s">
        <v>899</v>
      </c>
    </row>
    <row r="686" spans="52:52" x14ac:dyDescent="0.25">
      <c r="AZ686" t="s">
        <v>900</v>
      </c>
    </row>
    <row r="687" spans="52:52" x14ac:dyDescent="0.25">
      <c r="AZ687" t="s">
        <v>901</v>
      </c>
    </row>
    <row r="688" spans="52:52" x14ac:dyDescent="0.25">
      <c r="AZ688" t="s">
        <v>902</v>
      </c>
    </row>
    <row r="689" spans="52:52" x14ac:dyDescent="0.25">
      <c r="AZ689" t="s">
        <v>903</v>
      </c>
    </row>
    <row r="690" spans="52:52" x14ac:dyDescent="0.25">
      <c r="AZ690" t="s">
        <v>904</v>
      </c>
    </row>
    <row r="691" spans="52:52" x14ac:dyDescent="0.25">
      <c r="AZ691" t="s">
        <v>905</v>
      </c>
    </row>
    <row r="692" spans="52:52" x14ac:dyDescent="0.25">
      <c r="AZ692" t="s">
        <v>906</v>
      </c>
    </row>
    <row r="693" spans="52:52" x14ac:dyDescent="0.25">
      <c r="AZ693" t="s">
        <v>907</v>
      </c>
    </row>
    <row r="694" spans="52:52" x14ac:dyDescent="0.25">
      <c r="AZ694" t="s">
        <v>908</v>
      </c>
    </row>
    <row r="695" spans="52:52" x14ac:dyDescent="0.25">
      <c r="AZ695" t="s">
        <v>909</v>
      </c>
    </row>
    <row r="696" spans="52:52" x14ac:dyDescent="0.25">
      <c r="AZ696" t="s">
        <v>910</v>
      </c>
    </row>
    <row r="697" spans="52:52" x14ac:dyDescent="0.25">
      <c r="AZ697" t="s">
        <v>911</v>
      </c>
    </row>
    <row r="698" spans="52:52" x14ac:dyDescent="0.25">
      <c r="AZ698" t="s">
        <v>912</v>
      </c>
    </row>
    <row r="699" spans="52:52" x14ac:dyDescent="0.25">
      <c r="AZ699" t="s">
        <v>913</v>
      </c>
    </row>
    <row r="700" spans="52:52" x14ac:dyDescent="0.25">
      <c r="AZ700" t="s">
        <v>914</v>
      </c>
    </row>
    <row r="701" spans="52:52" x14ac:dyDescent="0.25">
      <c r="AZ701" t="s">
        <v>915</v>
      </c>
    </row>
    <row r="702" spans="52:52" x14ac:dyDescent="0.25">
      <c r="AZ702" t="s">
        <v>916</v>
      </c>
    </row>
    <row r="703" spans="52:52" x14ac:dyDescent="0.25">
      <c r="AZ703" t="s">
        <v>917</v>
      </c>
    </row>
    <row r="704" spans="52:52" x14ac:dyDescent="0.25">
      <c r="AZ704" t="s">
        <v>918</v>
      </c>
    </row>
    <row r="705" spans="52:52" x14ac:dyDescent="0.25">
      <c r="AZ705" t="s">
        <v>919</v>
      </c>
    </row>
    <row r="706" spans="52:52" x14ac:dyDescent="0.25">
      <c r="AZ706" t="s">
        <v>920</v>
      </c>
    </row>
    <row r="707" spans="52:52" x14ac:dyDescent="0.25">
      <c r="AZ707" t="s">
        <v>921</v>
      </c>
    </row>
    <row r="708" spans="52:52" x14ac:dyDescent="0.25">
      <c r="AZ708" t="s">
        <v>922</v>
      </c>
    </row>
    <row r="709" spans="52:52" x14ac:dyDescent="0.25">
      <c r="AZ709" t="s">
        <v>923</v>
      </c>
    </row>
    <row r="710" spans="52:52" x14ac:dyDescent="0.25">
      <c r="AZ710" t="s">
        <v>924</v>
      </c>
    </row>
    <row r="711" spans="52:52" x14ac:dyDescent="0.25">
      <c r="AZ711" t="s">
        <v>925</v>
      </c>
    </row>
    <row r="712" spans="52:52" x14ac:dyDescent="0.25">
      <c r="AZ712" t="s">
        <v>926</v>
      </c>
    </row>
    <row r="713" spans="52:52" x14ac:dyDescent="0.25">
      <c r="AZ713" t="s">
        <v>927</v>
      </c>
    </row>
    <row r="714" spans="52:52" x14ac:dyDescent="0.25">
      <c r="AZ714" t="s">
        <v>928</v>
      </c>
    </row>
    <row r="715" spans="52:52" x14ac:dyDescent="0.25">
      <c r="AZ715" t="s">
        <v>929</v>
      </c>
    </row>
    <row r="716" spans="52:52" x14ac:dyDescent="0.25">
      <c r="AZ716" t="s">
        <v>930</v>
      </c>
    </row>
    <row r="717" spans="52:52" x14ac:dyDescent="0.25">
      <c r="AZ717" t="s">
        <v>931</v>
      </c>
    </row>
    <row r="718" spans="52:52" x14ac:dyDescent="0.25">
      <c r="AZ718" t="s">
        <v>932</v>
      </c>
    </row>
    <row r="719" spans="52:52" x14ac:dyDescent="0.25">
      <c r="AZ719" t="s">
        <v>933</v>
      </c>
    </row>
    <row r="720" spans="52:52" x14ac:dyDescent="0.25">
      <c r="AZ720" t="s">
        <v>934</v>
      </c>
    </row>
    <row r="721" spans="52:52" x14ac:dyDescent="0.25">
      <c r="AZ721" t="s">
        <v>935</v>
      </c>
    </row>
    <row r="722" spans="52:52" x14ac:dyDescent="0.25">
      <c r="AZ722" t="s">
        <v>936</v>
      </c>
    </row>
    <row r="723" spans="52:52" x14ac:dyDescent="0.25">
      <c r="AZ723" t="s">
        <v>937</v>
      </c>
    </row>
    <row r="724" spans="52:52" x14ac:dyDescent="0.25">
      <c r="AZ724" t="s">
        <v>938</v>
      </c>
    </row>
    <row r="725" spans="52:52" x14ac:dyDescent="0.25">
      <c r="AZ725" t="s">
        <v>939</v>
      </c>
    </row>
    <row r="726" spans="52:52" x14ac:dyDescent="0.25">
      <c r="AZ726" t="s">
        <v>940</v>
      </c>
    </row>
    <row r="727" spans="52:52" x14ac:dyDescent="0.25">
      <c r="AZ727" t="s">
        <v>941</v>
      </c>
    </row>
    <row r="728" spans="52:52" x14ac:dyDescent="0.25">
      <c r="AZ728" t="s">
        <v>942</v>
      </c>
    </row>
    <row r="729" spans="52:52" x14ac:dyDescent="0.25">
      <c r="AZ729" t="s">
        <v>943</v>
      </c>
    </row>
    <row r="730" spans="52:52" x14ac:dyDescent="0.25">
      <c r="AZ730" t="s">
        <v>944</v>
      </c>
    </row>
    <row r="731" spans="52:52" x14ac:dyDescent="0.25">
      <c r="AZ731" t="s">
        <v>945</v>
      </c>
    </row>
    <row r="732" spans="52:52" x14ac:dyDescent="0.25">
      <c r="AZ732" t="s">
        <v>946</v>
      </c>
    </row>
    <row r="733" spans="52:52" x14ac:dyDescent="0.25">
      <c r="AZ733" t="s">
        <v>947</v>
      </c>
    </row>
    <row r="734" spans="52:52" x14ac:dyDescent="0.25">
      <c r="AZ734" t="s">
        <v>948</v>
      </c>
    </row>
  </sheetData>
  <dataValidations count="24">
    <dataValidation type="list" allowBlank="1" showErrorMessage="1" errorStyle="warning" errorTitle="Invalid value" error="Select a value from the dropdown list." sqref="A10:A101">
      <formula1>$AT$2:$AT$3</formula1>
    </dataValidation>
    <dataValidation type="list" allowBlank="1" showErrorMessage="1" errorStyle="warning" errorTitle="Invalid value" error="Select a value from the dropdown list." sqref="A2:A101">
      <formula1>$AT$2:$AT$3</formula1>
    </dataValidation>
    <dataValidation type="decimal" operator="greaterThanOrEqual" allowBlank="1" showErrorMessage="1" errorStyle="warning" errorTitle="Invalid Amount" error="Amount must be a positive number." sqref="AA10:AA101">
      <formula1>0</formula1>
    </dataValidation>
    <dataValidation type="decimal" operator="greaterThanOrEqual" allowBlank="1" showErrorMessage="1" errorStyle="warning" errorTitle="Invalid Amount" error="Amount must be a positive number." sqref="AA2:AA101">
      <formula1>0</formula1>
    </dataValidation>
    <dataValidation type="decimal" operator="greaterThanOrEqual" allowBlank="1" showErrorMessage="1" errorStyle="warning" errorTitle="Invalid Discount" error="Discount must be a positive number." sqref="AB10:AB101">
      <formula1>0</formula1>
    </dataValidation>
    <dataValidation type="decimal" operator="greaterThanOrEqual" allowBlank="1" showErrorMessage="1" errorStyle="warning" errorTitle="Invalid Discount" error="Discount must be a positive number." sqref="AB2:AB101">
      <formula1>0</formula1>
    </dataValidation>
    <dataValidation type="decimal" operator="greaterThan" allowBlank="1" showErrorMessage="1" errorStyle="warning" errorTitle="Invalid Quantity" error="Quantity must be a positive number." sqref="AE10:AE101">
      <formula1>0</formula1>
    </dataValidation>
    <dataValidation type="decimal" operator="greaterThan" allowBlank="1" showErrorMessage="1" errorStyle="warning" errorTitle="Invalid Quantity" error="Quantity must be a positive number." sqref="AE2:AE101">
      <formula1>0</formula1>
    </dataValidation>
    <dataValidation type="list" allowBlank="1" showErrorMessage="1" errorStyle="warning" errorTitle="Invalid VAT" error="Select 18% or 25% from the dropdown." sqref="AI10:AI101">
      <formula1>$BA$2:$BA$3</formula1>
    </dataValidation>
    <dataValidation type="list" allowBlank="1" showErrorMessage="1" errorStyle="warning" errorTitle="Invalid VAT" error="Select 18% or 25% from the dropdown." sqref="AI2:AI101">
      <formula1>$BA$2:$BA$3</formula1>
    </dataValidation>
    <dataValidation type="decimal" operator="greaterThanOrEqual" allowBlank="1" showErrorMessage="1" errorStyle="warning" errorTitle="Invalid Extra Tax" error="Extra Tax must be a positive number." sqref="AO10:AO101">
      <formula1>0</formula1>
    </dataValidation>
    <dataValidation type="decimal" operator="greaterThanOrEqual" allowBlank="1" showErrorMessage="1" errorStyle="warning" errorTitle="Invalid Extra Tax" error="Extra Tax must be a positive number." sqref="AO2:AO101">
      <formula1>0</formula1>
    </dataValidation>
    <dataValidation type="decimal" operator="greaterThanOrEqual" allowBlank="1" showErrorMessage="1" errorStyle="warning" errorTitle="Invalid Advance Income Tax" error="Advance Income Tax must be a positive number." sqref="AR10:AR101">
      <formula1>0</formula1>
    </dataValidation>
    <dataValidation type="decimal" operator="greaterThanOrEqual" allowBlank="1" showErrorMessage="1" errorStyle="warning" errorTitle="Invalid Advance Income Tax" error="Advance Income Tax must be a positive number." sqref="AR2:AR101">
      <formula1>0</formula1>
    </dataValidation>
    <dataValidation type="list" allowBlank="1" showErrorMessage="1" sqref="R10:R101">
      <formula1>$AV$2:$AV$27</formula1>
    </dataValidation>
    <dataValidation type="list" allowBlank="1" showErrorMessage="1" sqref="R2:R101">
      <formula1>$AV$2:$AV$27</formula1>
    </dataValidation>
    <dataValidation type="list" allowBlank="1" showErrorMessage="1" errorStyle="warning" errorTitle="Invalid Rate" error="Select a valid rate from the dropdown list." sqref="S10:S101">
      <formula1>$AX$2:$AX$68</formula1>
    </dataValidation>
    <dataValidation type="list" allowBlank="1" showErrorMessage="1" errorStyle="warning" errorTitle="Invalid Rate" error="Select a valid rate from the dropdown list." sqref="S2:S101">
      <formula1>$AX$2:$AX$68</formula1>
    </dataValidation>
    <dataValidation type="list" allowBlank="1" showErrorMessage="1" errorStyle="warning" errorTitle="Invalid SRO Schedule" error="Select a valid SRO Schedule from the dropdown list." sqref="T10:T101">
      <formula1>$AY$2:$AY$26</formula1>
    </dataValidation>
    <dataValidation type="list" allowBlank="1" showErrorMessage="1" errorStyle="warning" errorTitle="Invalid SRO Schedule" error="Select a valid SRO Schedule from the dropdown list." sqref="T2:T101">
      <formula1>$AY$2:$AY$26</formula1>
    </dataValidation>
    <dataValidation type="list" allowBlank="1" showErrorMessage="1" errorStyle="warning" errorTitle="Invalid SRO Item" error="Select a valid SRO Item from the dropdown list." sqref="U10:U101">
      <formula1>$AZ$2:$AZ$734</formula1>
    </dataValidation>
    <dataValidation type="list" allowBlank="1" showErrorMessage="1" errorStyle="warning" errorTitle="Invalid SRO Item" error="Select a valid SRO Item from the dropdown list." sqref="U2:U101">
      <formula1>$AZ$2:$AZ$734</formula1>
    </dataValidation>
    <dataValidation type="list" allowBlank="1" showErrorMessage="1" errorStyle="warning" errorTitle="Invalid UoM" error="Select a valid Unit of Measurement from the dropdown list." sqref="W10:W101">
      <formula1>$AW$2:$AW$33</formula1>
    </dataValidation>
    <dataValidation type="list" allowBlank="1" showErrorMessage="1" errorStyle="warning" errorTitle="Invalid UoM" error="Select a valid Unit of Measurement from the dropdown list." sqref="W2:W101">
      <formula1>$AW$2:$AW$33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FBR Sandbox System</dc:creator>
  <dc:title/>
  <dc:subject/>
  <dc:description/>
  <cp:keywords/>
  <cp:category/>
  <cp:lastModifiedBy>Unknown</cp:lastModifiedBy>
  <dcterms:created xsi:type="dcterms:W3CDTF">2026-09-18T10:19:40Z</dcterms:created>
  <dcterms:modified xsi:type="dcterms:W3CDTF">2026-09-18T10:19:40Z</dcterms:modified>
</cp:coreProperties>
</file>