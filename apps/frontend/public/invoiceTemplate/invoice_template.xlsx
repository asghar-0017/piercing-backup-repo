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0" yWindow="0" windowWidth="23004" windowHeight="9204"/>
  </bookViews>
  <sheets>
    <sheet name="Template" sheetId="1" r:id="rId1"/>
  </sheets>
  <calcPr calcId="152511"/>
</workbook>
</file>

<file path=xl/calcChain.xml><?xml version="1.0" encoding="utf-8"?>
<calcChain xmlns="http://schemas.openxmlformats.org/spreadsheetml/2006/main">
  <c r="AP1060" i="1" l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385" i="1"/>
  <c r="AP386" i="1"/>
  <c r="AP387" i="1"/>
  <c r="AP388" i="1"/>
  <c r="AP389" i="1"/>
  <c r="AP390" i="1"/>
  <c r="AP391" i="1"/>
  <c r="AP392" i="1"/>
  <c r="AP393" i="1"/>
  <c r="AP394" i="1"/>
  <c r="AP395" i="1"/>
  <c r="AP396" i="1"/>
  <c r="AP397" i="1"/>
  <c r="AP398" i="1"/>
  <c r="AP399" i="1"/>
  <c r="AP400" i="1"/>
  <c r="AP401" i="1"/>
  <c r="AP402" i="1"/>
  <c r="AP403" i="1"/>
  <c r="AP404" i="1"/>
  <c r="AP405" i="1"/>
  <c r="AP406" i="1"/>
  <c r="AP407" i="1"/>
  <c r="AP408" i="1"/>
  <c r="AP409" i="1"/>
  <c r="AP410" i="1"/>
  <c r="AP411" i="1"/>
  <c r="AP412" i="1"/>
  <c r="AP413" i="1"/>
  <c r="AP414" i="1"/>
  <c r="AP415" i="1"/>
  <c r="AP416" i="1"/>
  <c r="AP417" i="1"/>
  <c r="AP418" i="1"/>
  <c r="AP419" i="1"/>
  <c r="AP420" i="1"/>
  <c r="AP421" i="1"/>
  <c r="AP422" i="1"/>
  <c r="AP423" i="1"/>
  <c r="AP424" i="1"/>
  <c r="AP425" i="1"/>
  <c r="AP426" i="1"/>
  <c r="AP427" i="1"/>
  <c r="AP428" i="1"/>
  <c r="AP429" i="1"/>
  <c r="AP430" i="1"/>
  <c r="AP431" i="1"/>
  <c r="AP432" i="1"/>
  <c r="AP433" i="1"/>
  <c r="AP434" i="1"/>
  <c r="AP435" i="1"/>
  <c r="AP436" i="1"/>
  <c r="AP437" i="1"/>
  <c r="AP438" i="1"/>
  <c r="AP439" i="1"/>
  <c r="AP440" i="1"/>
  <c r="AP441" i="1"/>
  <c r="AP442" i="1"/>
  <c r="AP443" i="1"/>
  <c r="AP444" i="1"/>
  <c r="AP445" i="1"/>
  <c r="AP446" i="1"/>
  <c r="AP447" i="1"/>
  <c r="AP448" i="1"/>
  <c r="AP449" i="1"/>
  <c r="AP450" i="1"/>
  <c r="AP451" i="1"/>
  <c r="AP452" i="1"/>
  <c r="AP453" i="1"/>
  <c r="AP454" i="1"/>
  <c r="AP455" i="1"/>
  <c r="AP456" i="1"/>
  <c r="AP457" i="1"/>
  <c r="AP458" i="1"/>
  <c r="AP459" i="1"/>
  <c r="AP460" i="1"/>
  <c r="AP461" i="1"/>
  <c r="AP462" i="1"/>
  <c r="AP463" i="1"/>
  <c r="AP464" i="1"/>
  <c r="AP465" i="1"/>
  <c r="AP466" i="1"/>
  <c r="AP467" i="1"/>
  <c r="AP468" i="1"/>
  <c r="AP469" i="1"/>
  <c r="AP470" i="1"/>
  <c r="AP471" i="1"/>
  <c r="AP472" i="1"/>
  <c r="AP473" i="1"/>
  <c r="AP474" i="1"/>
  <c r="AP475" i="1"/>
  <c r="AP476" i="1"/>
  <c r="AP477" i="1"/>
  <c r="AP478" i="1"/>
  <c r="AP479" i="1"/>
  <c r="AP480" i="1"/>
  <c r="AP481" i="1"/>
  <c r="AP482" i="1"/>
  <c r="AP483" i="1"/>
  <c r="AP484" i="1"/>
  <c r="AP485" i="1"/>
  <c r="AP486" i="1"/>
  <c r="AP487" i="1"/>
  <c r="AP488" i="1"/>
  <c r="AP489" i="1"/>
  <c r="AP490" i="1"/>
  <c r="AP491" i="1"/>
  <c r="AP492" i="1"/>
  <c r="AP493" i="1"/>
  <c r="AP494" i="1"/>
  <c r="AP495" i="1"/>
  <c r="AP496" i="1"/>
  <c r="AP497" i="1"/>
  <c r="AP498" i="1"/>
  <c r="AP499" i="1"/>
  <c r="AP500" i="1"/>
  <c r="AP501" i="1"/>
  <c r="AP502" i="1"/>
  <c r="AP503" i="1"/>
  <c r="AP504" i="1"/>
  <c r="AP505" i="1"/>
  <c r="AP506" i="1"/>
  <c r="AP507" i="1"/>
  <c r="AP508" i="1"/>
  <c r="AP509" i="1"/>
  <c r="AP510" i="1"/>
  <c r="AP511" i="1"/>
  <c r="AP512" i="1"/>
  <c r="AP513" i="1"/>
  <c r="AP514" i="1"/>
  <c r="AP515" i="1"/>
  <c r="AP516" i="1"/>
  <c r="AP517" i="1"/>
  <c r="AP518" i="1"/>
  <c r="AP519" i="1"/>
  <c r="AP520" i="1"/>
  <c r="AP521" i="1"/>
  <c r="AP522" i="1"/>
  <c r="AP523" i="1"/>
  <c r="AP524" i="1"/>
  <c r="AP525" i="1"/>
  <c r="AP526" i="1"/>
  <c r="AP527" i="1"/>
  <c r="AP528" i="1"/>
  <c r="AP529" i="1"/>
  <c r="AP530" i="1"/>
  <c r="AP531" i="1"/>
  <c r="AP532" i="1"/>
  <c r="AP533" i="1"/>
  <c r="AP534" i="1"/>
  <c r="AP535" i="1"/>
  <c r="AP536" i="1"/>
  <c r="AP537" i="1"/>
  <c r="AP538" i="1"/>
  <c r="AP539" i="1"/>
  <c r="AP540" i="1"/>
  <c r="AP541" i="1"/>
  <c r="AP542" i="1"/>
  <c r="AP543" i="1"/>
  <c r="AP544" i="1"/>
  <c r="AP545" i="1"/>
  <c r="AP546" i="1"/>
  <c r="AP547" i="1"/>
  <c r="AP548" i="1"/>
  <c r="AP549" i="1"/>
  <c r="AP550" i="1"/>
  <c r="AP551" i="1"/>
  <c r="AP552" i="1"/>
  <c r="AP553" i="1"/>
  <c r="AP554" i="1"/>
  <c r="AP555" i="1"/>
  <c r="AP556" i="1"/>
  <c r="AP557" i="1"/>
  <c r="AP558" i="1"/>
  <c r="AP559" i="1"/>
  <c r="AP560" i="1"/>
  <c r="AP561" i="1"/>
  <c r="AP562" i="1"/>
  <c r="AP563" i="1"/>
  <c r="AP564" i="1"/>
  <c r="AP565" i="1"/>
  <c r="AP566" i="1"/>
  <c r="AP567" i="1"/>
  <c r="AP568" i="1"/>
  <c r="AP569" i="1"/>
  <c r="AP570" i="1"/>
  <c r="AP571" i="1"/>
  <c r="AP572" i="1"/>
  <c r="AP573" i="1"/>
  <c r="AP574" i="1"/>
  <c r="AP575" i="1"/>
  <c r="AP576" i="1"/>
  <c r="AP577" i="1"/>
  <c r="AP578" i="1"/>
  <c r="AP579" i="1"/>
  <c r="AP580" i="1"/>
  <c r="AP581" i="1"/>
  <c r="AP582" i="1"/>
  <c r="AP583" i="1"/>
  <c r="AP584" i="1"/>
  <c r="AP585" i="1"/>
  <c r="AP586" i="1"/>
  <c r="AP587" i="1"/>
  <c r="AP588" i="1"/>
  <c r="AP589" i="1"/>
  <c r="AP590" i="1"/>
  <c r="AP591" i="1"/>
  <c r="AP592" i="1"/>
  <c r="AP593" i="1"/>
  <c r="AP594" i="1"/>
  <c r="AP595" i="1"/>
  <c r="AP596" i="1"/>
  <c r="AP597" i="1"/>
  <c r="AP598" i="1"/>
  <c r="AP599" i="1"/>
  <c r="AP600" i="1"/>
  <c r="AP601" i="1"/>
  <c r="AP602" i="1"/>
  <c r="AP603" i="1"/>
  <c r="AP604" i="1"/>
  <c r="AP605" i="1"/>
  <c r="AP606" i="1"/>
  <c r="AP607" i="1"/>
  <c r="AP608" i="1"/>
  <c r="AP609" i="1"/>
  <c r="AP610" i="1"/>
  <c r="AP611" i="1"/>
  <c r="AP612" i="1"/>
  <c r="AP613" i="1"/>
  <c r="AP614" i="1"/>
  <c r="AP615" i="1"/>
  <c r="AP616" i="1"/>
  <c r="AP617" i="1"/>
  <c r="AP618" i="1"/>
  <c r="AP619" i="1"/>
  <c r="AP620" i="1"/>
  <c r="AP621" i="1"/>
  <c r="AP622" i="1"/>
  <c r="AP623" i="1"/>
  <c r="AP624" i="1"/>
  <c r="AP625" i="1"/>
  <c r="AP626" i="1"/>
  <c r="AP627" i="1"/>
  <c r="AP628" i="1"/>
  <c r="AP629" i="1"/>
  <c r="AP630" i="1"/>
  <c r="AP631" i="1"/>
  <c r="AP632" i="1"/>
  <c r="AP633" i="1"/>
  <c r="AP634" i="1"/>
  <c r="AP635" i="1"/>
  <c r="AP636" i="1"/>
  <c r="AP637" i="1"/>
  <c r="AP638" i="1"/>
  <c r="AP639" i="1"/>
  <c r="AP640" i="1"/>
  <c r="AP641" i="1"/>
  <c r="AP642" i="1"/>
  <c r="AP643" i="1"/>
  <c r="AP644" i="1"/>
  <c r="AP645" i="1"/>
  <c r="AP646" i="1"/>
  <c r="AP647" i="1"/>
  <c r="AP648" i="1"/>
  <c r="AP649" i="1"/>
  <c r="AP650" i="1"/>
  <c r="AP651" i="1"/>
  <c r="AP652" i="1"/>
  <c r="AP653" i="1"/>
  <c r="AP654" i="1"/>
  <c r="AP655" i="1"/>
  <c r="AP656" i="1"/>
  <c r="AP657" i="1"/>
  <c r="AP658" i="1"/>
  <c r="AP659" i="1"/>
  <c r="AP660" i="1"/>
  <c r="AP661" i="1"/>
  <c r="AP662" i="1"/>
  <c r="AP663" i="1"/>
  <c r="AP664" i="1"/>
  <c r="AP665" i="1"/>
  <c r="AP666" i="1"/>
  <c r="AP667" i="1"/>
  <c r="AP668" i="1"/>
  <c r="AP669" i="1"/>
  <c r="AP670" i="1"/>
  <c r="AP671" i="1"/>
  <c r="AP672" i="1"/>
  <c r="AP673" i="1"/>
  <c r="AP674" i="1"/>
  <c r="AP675" i="1"/>
  <c r="AP676" i="1"/>
  <c r="AP677" i="1"/>
  <c r="AP678" i="1"/>
  <c r="AP679" i="1"/>
  <c r="AP680" i="1"/>
  <c r="AP681" i="1"/>
  <c r="AP682" i="1"/>
  <c r="AP683" i="1"/>
  <c r="AP684" i="1"/>
  <c r="AP685" i="1"/>
  <c r="AP686" i="1"/>
  <c r="AP687" i="1"/>
  <c r="AP688" i="1"/>
  <c r="AP689" i="1"/>
  <c r="AP690" i="1"/>
  <c r="AP691" i="1"/>
  <c r="AP692" i="1"/>
  <c r="AP693" i="1"/>
  <c r="AP694" i="1"/>
  <c r="AP695" i="1"/>
  <c r="AP696" i="1"/>
  <c r="AP697" i="1"/>
  <c r="AP698" i="1"/>
  <c r="AP699" i="1"/>
  <c r="AP700" i="1"/>
  <c r="AP701" i="1"/>
  <c r="AP702" i="1"/>
  <c r="AP703" i="1"/>
  <c r="AP704" i="1"/>
  <c r="AP705" i="1"/>
  <c r="AP706" i="1"/>
  <c r="AP707" i="1"/>
  <c r="AP708" i="1"/>
  <c r="AP709" i="1"/>
  <c r="AP710" i="1"/>
  <c r="AP711" i="1"/>
  <c r="AP712" i="1"/>
  <c r="AP713" i="1"/>
  <c r="AP714" i="1"/>
  <c r="AP715" i="1"/>
  <c r="AP716" i="1"/>
  <c r="AP717" i="1"/>
  <c r="AP718" i="1"/>
  <c r="AP719" i="1"/>
  <c r="AP720" i="1"/>
  <c r="AP721" i="1"/>
  <c r="AP722" i="1"/>
  <c r="AP723" i="1"/>
  <c r="AP724" i="1"/>
  <c r="AP725" i="1"/>
  <c r="AP726" i="1"/>
  <c r="AP727" i="1"/>
  <c r="AP728" i="1"/>
  <c r="AP729" i="1"/>
  <c r="AP730" i="1"/>
  <c r="AP731" i="1"/>
  <c r="AP732" i="1"/>
  <c r="AP733" i="1"/>
  <c r="AP734" i="1"/>
  <c r="AP735" i="1"/>
  <c r="AP736" i="1"/>
  <c r="AP737" i="1"/>
  <c r="AP738" i="1"/>
  <c r="AP739" i="1"/>
  <c r="AP740" i="1"/>
  <c r="AP741" i="1"/>
  <c r="AP742" i="1"/>
  <c r="AP743" i="1"/>
  <c r="AP744" i="1"/>
  <c r="AP745" i="1"/>
  <c r="AP746" i="1"/>
  <c r="AP747" i="1"/>
  <c r="AP748" i="1"/>
  <c r="AP749" i="1"/>
  <c r="AP750" i="1"/>
  <c r="AP751" i="1"/>
  <c r="AP752" i="1"/>
  <c r="AP753" i="1"/>
  <c r="AP754" i="1"/>
  <c r="AP755" i="1"/>
  <c r="AP756" i="1"/>
  <c r="AP757" i="1"/>
  <c r="AP758" i="1"/>
  <c r="AP759" i="1"/>
  <c r="AP760" i="1"/>
  <c r="AP761" i="1"/>
  <c r="AP762" i="1"/>
  <c r="AP763" i="1"/>
  <c r="AP764" i="1"/>
  <c r="AP765" i="1"/>
  <c r="AP766" i="1"/>
  <c r="AP767" i="1"/>
  <c r="AP768" i="1"/>
  <c r="AP769" i="1"/>
  <c r="AP770" i="1"/>
  <c r="AP771" i="1"/>
  <c r="AP772" i="1"/>
  <c r="AP773" i="1"/>
  <c r="AP774" i="1"/>
  <c r="AP775" i="1"/>
  <c r="AP776" i="1"/>
  <c r="AP777" i="1"/>
  <c r="AP778" i="1"/>
  <c r="AP779" i="1"/>
  <c r="AP780" i="1"/>
  <c r="AP781" i="1"/>
  <c r="AP782" i="1"/>
  <c r="AP783" i="1"/>
  <c r="AP784" i="1"/>
  <c r="AP785" i="1"/>
  <c r="AP786" i="1"/>
  <c r="AP787" i="1"/>
  <c r="AP788" i="1"/>
  <c r="AP789" i="1"/>
  <c r="AP790" i="1"/>
  <c r="AP791" i="1"/>
  <c r="AP792" i="1"/>
  <c r="AP793" i="1"/>
  <c r="AP794" i="1"/>
  <c r="AP795" i="1"/>
  <c r="AP796" i="1"/>
  <c r="AP797" i="1"/>
  <c r="AP798" i="1"/>
  <c r="AP799" i="1"/>
  <c r="AP800" i="1"/>
  <c r="AP801" i="1"/>
  <c r="AP802" i="1"/>
  <c r="AP803" i="1"/>
  <c r="AP804" i="1"/>
  <c r="AP805" i="1"/>
  <c r="AP806" i="1"/>
  <c r="AP807" i="1"/>
  <c r="AP808" i="1"/>
  <c r="AP809" i="1"/>
  <c r="AP810" i="1"/>
  <c r="AP811" i="1"/>
  <c r="AP812" i="1"/>
  <c r="AP813" i="1"/>
  <c r="AP814" i="1"/>
  <c r="AP815" i="1"/>
  <c r="AP816" i="1"/>
  <c r="AP817" i="1"/>
  <c r="AP818" i="1"/>
  <c r="AP819" i="1"/>
  <c r="AP820" i="1"/>
  <c r="AP821" i="1"/>
  <c r="AP822" i="1"/>
  <c r="AP823" i="1"/>
  <c r="AP824" i="1"/>
  <c r="AP825" i="1"/>
  <c r="AP826" i="1"/>
  <c r="AP827" i="1"/>
  <c r="AP828" i="1"/>
  <c r="AP829" i="1"/>
  <c r="AP830" i="1"/>
  <c r="AP831" i="1"/>
  <c r="AP832" i="1"/>
  <c r="AP833" i="1"/>
  <c r="AP834" i="1"/>
  <c r="AP835" i="1"/>
  <c r="AP836" i="1"/>
  <c r="AP837" i="1"/>
  <c r="AP838" i="1"/>
  <c r="AP839" i="1"/>
  <c r="AP840" i="1"/>
  <c r="AP841" i="1"/>
  <c r="AP842" i="1"/>
  <c r="AP843" i="1"/>
  <c r="AP844" i="1"/>
  <c r="AP845" i="1"/>
  <c r="AP846" i="1"/>
  <c r="AP847" i="1"/>
  <c r="AP848" i="1"/>
  <c r="AP849" i="1"/>
  <c r="AP850" i="1"/>
  <c r="AP851" i="1"/>
  <c r="AP852" i="1"/>
  <c r="AP853" i="1"/>
  <c r="AP854" i="1"/>
  <c r="AP855" i="1"/>
  <c r="AP856" i="1"/>
  <c r="AP857" i="1"/>
  <c r="AP858" i="1"/>
  <c r="AP859" i="1"/>
  <c r="AP860" i="1"/>
  <c r="AP861" i="1"/>
  <c r="AP862" i="1"/>
  <c r="AP863" i="1"/>
  <c r="AP864" i="1"/>
  <c r="AP865" i="1"/>
  <c r="AP866" i="1"/>
  <c r="AP867" i="1"/>
  <c r="AP868" i="1"/>
  <c r="AP869" i="1"/>
  <c r="AP870" i="1"/>
  <c r="AP871" i="1"/>
  <c r="AP872" i="1"/>
  <c r="AP873" i="1"/>
  <c r="AP874" i="1"/>
  <c r="AP875" i="1"/>
  <c r="AP876" i="1"/>
  <c r="AP877" i="1"/>
  <c r="AP878" i="1"/>
  <c r="AP879" i="1"/>
  <c r="AP880" i="1"/>
  <c r="AP881" i="1"/>
  <c r="AP882" i="1"/>
  <c r="AP883" i="1"/>
  <c r="AP884" i="1"/>
  <c r="AP885" i="1"/>
  <c r="AP886" i="1"/>
  <c r="AP887" i="1"/>
  <c r="AP888" i="1"/>
  <c r="AP889" i="1"/>
  <c r="AP890" i="1"/>
  <c r="AP891" i="1"/>
  <c r="AP892" i="1"/>
  <c r="AP893" i="1"/>
  <c r="AP894" i="1"/>
  <c r="AP895" i="1"/>
  <c r="AP896" i="1"/>
  <c r="AP897" i="1"/>
  <c r="AP898" i="1"/>
  <c r="AP899" i="1"/>
  <c r="AP900" i="1"/>
  <c r="AP901" i="1"/>
  <c r="AP902" i="1"/>
  <c r="AP903" i="1"/>
  <c r="AP904" i="1"/>
  <c r="AP905" i="1"/>
  <c r="AP906" i="1"/>
  <c r="AP907" i="1"/>
  <c r="AP908" i="1"/>
  <c r="AP909" i="1"/>
  <c r="AP910" i="1"/>
  <c r="AP911" i="1"/>
  <c r="AP912" i="1"/>
  <c r="AP913" i="1"/>
  <c r="AP914" i="1"/>
  <c r="AP915" i="1"/>
  <c r="AP916" i="1"/>
  <c r="AP917" i="1"/>
  <c r="AP918" i="1"/>
  <c r="AP919" i="1"/>
  <c r="AP920" i="1"/>
  <c r="AP921" i="1"/>
  <c r="AP922" i="1"/>
  <c r="AP923" i="1"/>
  <c r="AP924" i="1"/>
  <c r="AP925" i="1"/>
  <c r="AP926" i="1"/>
  <c r="AP927" i="1"/>
  <c r="AP928" i="1"/>
  <c r="AP929" i="1"/>
  <c r="AP930" i="1"/>
  <c r="AP931" i="1"/>
  <c r="AP932" i="1"/>
  <c r="AP933" i="1"/>
  <c r="AP934" i="1"/>
  <c r="AP935" i="1"/>
  <c r="AP936" i="1"/>
  <c r="AP937" i="1"/>
  <c r="AP938" i="1"/>
  <c r="AP939" i="1"/>
  <c r="AP940" i="1"/>
  <c r="AP941" i="1"/>
  <c r="AP942" i="1"/>
  <c r="AP943" i="1"/>
  <c r="AP944" i="1"/>
  <c r="AP945" i="1"/>
  <c r="AP946" i="1"/>
  <c r="AP947" i="1"/>
  <c r="AP948" i="1"/>
  <c r="AP949" i="1"/>
  <c r="AP950" i="1"/>
  <c r="AP951" i="1"/>
  <c r="AP952" i="1"/>
  <c r="AP953" i="1"/>
  <c r="AP954" i="1"/>
  <c r="AP955" i="1"/>
  <c r="AP956" i="1"/>
  <c r="AP957" i="1"/>
  <c r="AP958" i="1"/>
  <c r="AP959" i="1"/>
  <c r="AP960" i="1"/>
  <c r="AP961" i="1"/>
  <c r="AP962" i="1"/>
  <c r="AP963" i="1"/>
  <c r="AP964" i="1"/>
  <c r="AP965" i="1"/>
  <c r="AP966" i="1"/>
  <c r="AP967" i="1"/>
  <c r="AP968" i="1"/>
  <c r="AP969" i="1"/>
  <c r="AP970" i="1"/>
  <c r="AP971" i="1"/>
  <c r="AP972" i="1"/>
  <c r="AP973" i="1"/>
  <c r="AP974" i="1"/>
  <c r="AP975" i="1"/>
  <c r="AP976" i="1"/>
  <c r="AP977" i="1"/>
  <c r="AP978" i="1"/>
  <c r="AP979" i="1"/>
  <c r="AP980" i="1"/>
  <c r="AP981" i="1"/>
  <c r="AP982" i="1"/>
  <c r="AP983" i="1"/>
  <c r="AP984" i="1"/>
  <c r="AP985" i="1"/>
  <c r="AP986" i="1"/>
  <c r="AP987" i="1"/>
  <c r="AP988" i="1"/>
  <c r="AP989" i="1"/>
  <c r="AP990" i="1"/>
  <c r="AP991" i="1"/>
  <c r="AP992" i="1"/>
  <c r="AP993" i="1"/>
  <c r="AP994" i="1"/>
  <c r="AP995" i="1"/>
  <c r="AP996" i="1"/>
  <c r="AP997" i="1"/>
  <c r="AP998" i="1"/>
  <c r="AP999" i="1"/>
  <c r="AP1000" i="1"/>
  <c r="AP1001" i="1"/>
  <c r="AP1002" i="1"/>
  <c r="AP1003" i="1"/>
  <c r="AP1004" i="1"/>
  <c r="AP1005" i="1"/>
  <c r="AP1006" i="1"/>
  <c r="AP1007" i="1"/>
  <c r="AP1008" i="1"/>
  <c r="AP1009" i="1"/>
  <c r="AP1010" i="1"/>
  <c r="AP1011" i="1"/>
  <c r="AP1012" i="1"/>
  <c r="AP1013" i="1"/>
  <c r="AP1014" i="1"/>
  <c r="AP1015" i="1"/>
  <c r="AP1016" i="1"/>
  <c r="AP1017" i="1"/>
  <c r="AP1018" i="1"/>
  <c r="AP1019" i="1"/>
  <c r="AP1020" i="1"/>
  <c r="AP1021" i="1"/>
  <c r="AP1022" i="1"/>
  <c r="AP1023" i="1"/>
  <c r="AP1024" i="1"/>
  <c r="AP1025" i="1"/>
  <c r="AP1026" i="1"/>
  <c r="AP1027" i="1"/>
  <c r="AP1028" i="1"/>
  <c r="AP1029" i="1"/>
  <c r="AP1030" i="1"/>
  <c r="AP1031" i="1"/>
  <c r="AP1032" i="1"/>
  <c r="AP1033" i="1"/>
  <c r="AP1034" i="1"/>
  <c r="AP1035" i="1"/>
  <c r="AP1036" i="1"/>
  <c r="AP1037" i="1"/>
  <c r="AP1038" i="1"/>
  <c r="AP1039" i="1"/>
  <c r="AP1040" i="1"/>
  <c r="AP1041" i="1"/>
  <c r="AP1042" i="1"/>
  <c r="AP1043" i="1"/>
  <c r="AP1044" i="1"/>
  <c r="AP1045" i="1"/>
  <c r="AP1046" i="1"/>
  <c r="AP1047" i="1"/>
  <c r="AP1048" i="1"/>
  <c r="AP1049" i="1"/>
  <c r="AP1050" i="1"/>
  <c r="AP1051" i="1"/>
  <c r="AP1052" i="1"/>
  <c r="AP1053" i="1"/>
  <c r="AP1054" i="1"/>
  <c r="AP1055" i="1"/>
  <c r="AP1056" i="1"/>
  <c r="AP1057" i="1"/>
  <c r="AP1058" i="1"/>
  <c r="AP1059" i="1"/>
  <c r="AP1061" i="1"/>
  <c r="AP1062" i="1"/>
  <c r="AP1063" i="1"/>
  <c r="AI101" i="1"/>
  <c r="AH101" i="1"/>
  <c r="AG101" i="1"/>
  <c r="AF101" i="1"/>
  <c r="V101" i="1"/>
  <c r="AI100" i="1"/>
  <c r="AH100" i="1"/>
  <c r="AG100" i="1"/>
  <c r="AF100" i="1"/>
  <c r="V100" i="1"/>
  <c r="AI99" i="1"/>
  <c r="AH99" i="1"/>
  <c r="AG99" i="1"/>
  <c r="AF99" i="1"/>
  <c r="V99" i="1"/>
  <c r="AI98" i="1"/>
  <c r="AH98" i="1"/>
  <c r="AG98" i="1"/>
  <c r="AF98" i="1"/>
  <c r="V98" i="1"/>
  <c r="AI97" i="1"/>
  <c r="AH97" i="1"/>
  <c r="AG97" i="1"/>
  <c r="AF97" i="1"/>
  <c r="V97" i="1"/>
  <c r="AI96" i="1"/>
  <c r="AH96" i="1"/>
  <c r="AG96" i="1"/>
  <c r="AF96" i="1"/>
  <c r="V96" i="1"/>
  <c r="AI95" i="1"/>
  <c r="AH95" i="1"/>
  <c r="AG95" i="1"/>
  <c r="AF95" i="1"/>
  <c r="V95" i="1"/>
  <c r="AI94" i="1"/>
  <c r="AH94" i="1"/>
  <c r="AG94" i="1"/>
  <c r="AF94" i="1"/>
  <c r="V94" i="1"/>
  <c r="AI93" i="1"/>
  <c r="AH93" i="1"/>
  <c r="AG93" i="1"/>
  <c r="AF93" i="1"/>
  <c r="V93" i="1"/>
  <c r="AI92" i="1"/>
  <c r="AH92" i="1"/>
  <c r="AG92" i="1"/>
  <c r="AF92" i="1"/>
  <c r="V92" i="1"/>
  <c r="AI91" i="1"/>
  <c r="AH91" i="1"/>
  <c r="AG91" i="1"/>
  <c r="AF91" i="1"/>
  <c r="V91" i="1"/>
  <c r="AI90" i="1"/>
  <c r="AH90" i="1"/>
  <c r="AG90" i="1"/>
  <c r="AF90" i="1"/>
  <c r="V90" i="1"/>
  <c r="AI89" i="1"/>
  <c r="AH89" i="1"/>
  <c r="AG89" i="1"/>
  <c r="AF89" i="1"/>
  <c r="V89" i="1"/>
  <c r="AI88" i="1"/>
  <c r="AH88" i="1"/>
  <c r="AG88" i="1"/>
  <c r="AF88" i="1"/>
  <c r="V88" i="1"/>
  <c r="AI87" i="1"/>
  <c r="AH87" i="1"/>
  <c r="AG87" i="1"/>
  <c r="AF87" i="1"/>
  <c r="V87" i="1"/>
  <c r="AI86" i="1"/>
  <c r="AH86" i="1"/>
  <c r="AG86" i="1"/>
  <c r="AF86" i="1"/>
  <c r="V86" i="1"/>
  <c r="AI85" i="1"/>
  <c r="AH85" i="1"/>
  <c r="AG85" i="1"/>
  <c r="AF85" i="1"/>
  <c r="V85" i="1"/>
  <c r="AI84" i="1"/>
  <c r="AH84" i="1"/>
  <c r="AG84" i="1"/>
  <c r="AF84" i="1"/>
  <c r="V84" i="1"/>
  <c r="AI83" i="1"/>
  <c r="AH83" i="1"/>
  <c r="AG83" i="1"/>
  <c r="AF83" i="1"/>
  <c r="V83" i="1"/>
  <c r="AI82" i="1"/>
  <c r="AH82" i="1"/>
  <c r="AG82" i="1"/>
  <c r="AF82" i="1"/>
  <c r="V82" i="1"/>
  <c r="AI81" i="1"/>
  <c r="AH81" i="1"/>
  <c r="AG81" i="1"/>
  <c r="AF81" i="1"/>
  <c r="V81" i="1"/>
  <c r="AI80" i="1"/>
  <c r="AH80" i="1"/>
  <c r="AG80" i="1"/>
  <c r="AF80" i="1"/>
  <c r="V80" i="1"/>
  <c r="AI79" i="1"/>
  <c r="AH79" i="1"/>
  <c r="AG79" i="1"/>
  <c r="AF79" i="1"/>
  <c r="V79" i="1"/>
  <c r="AI78" i="1"/>
  <c r="AH78" i="1"/>
  <c r="AG78" i="1"/>
  <c r="AF78" i="1"/>
  <c r="V78" i="1"/>
  <c r="AI77" i="1"/>
  <c r="AH77" i="1"/>
  <c r="AG77" i="1"/>
  <c r="AF77" i="1"/>
  <c r="V77" i="1"/>
  <c r="AI76" i="1"/>
  <c r="AH76" i="1"/>
  <c r="AG76" i="1"/>
  <c r="AF76" i="1"/>
  <c r="V76" i="1"/>
  <c r="AI75" i="1"/>
  <c r="AH75" i="1"/>
  <c r="AG75" i="1"/>
  <c r="AF75" i="1"/>
  <c r="V75" i="1"/>
  <c r="AI74" i="1"/>
  <c r="AH74" i="1"/>
  <c r="AG74" i="1"/>
  <c r="AF74" i="1"/>
  <c r="V74" i="1"/>
  <c r="AI73" i="1"/>
  <c r="AH73" i="1"/>
  <c r="AG73" i="1"/>
  <c r="AF73" i="1"/>
  <c r="V73" i="1"/>
  <c r="AI72" i="1"/>
  <c r="AH72" i="1"/>
  <c r="AG72" i="1"/>
  <c r="AF72" i="1"/>
  <c r="V72" i="1"/>
  <c r="AI71" i="1"/>
  <c r="AH71" i="1"/>
  <c r="AG71" i="1"/>
  <c r="AF71" i="1"/>
  <c r="V71" i="1"/>
  <c r="AI70" i="1"/>
  <c r="AH70" i="1"/>
  <c r="AG70" i="1"/>
  <c r="AF70" i="1"/>
  <c r="V70" i="1"/>
  <c r="AI69" i="1"/>
  <c r="AH69" i="1"/>
  <c r="AG69" i="1"/>
  <c r="AF69" i="1"/>
  <c r="V69" i="1"/>
  <c r="AI68" i="1"/>
  <c r="AH68" i="1"/>
  <c r="AG68" i="1"/>
  <c r="AF68" i="1"/>
  <c r="V68" i="1"/>
  <c r="AI67" i="1"/>
  <c r="AH67" i="1"/>
  <c r="AG67" i="1"/>
  <c r="AF67" i="1"/>
  <c r="V67" i="1"/>
  <c r="AI66" i="1"/>
  <c r="AH66" i="1"/>
  <c r="AG66" i="1"/>
  <c r="AF66" i="1"/>
  <c r="V66" i="1"/>
  <c r="AI65" i="1"/>
  <c r="AH65" i="1"/>
  <c r="AG65" i="1"/>
  <c r="AF65" i="1"/>
  <c r="V65" i="1"/>
  <c r="AI64" i="1"/>
  <c r="AH64" i="1"/>
  <c r="AG64" i="1"/>
  <c r="AF64" i="1"/>
  <c r="V64" i="1"/>
  <c r="AI63" i="1"/>
  <c r="AH63" i="1"/>
  <c r="AG63" i="1"/>
  <c r="AF63" i="1"/>
  <c r="V63" i="1"/>
  <c r="AI62" i="1"/>
  <c r="AH62" i="1"/>
  <c r="AG62" i="1"/>
  <c r="AF62" i="1"/>
  <c r="V62" i="1"/>
  <c r="AI61" i="1"/>
  <c r="AH61" i="1"/>
  <c r="AG61" i="1"/>
  <c r="AF61" i="1"/>
  <c r="V61" i="1"/>
  <c r="AI60" i="1"/>
  <c r="AH60" i="1"/>
  <c r="AG60" i="1"/>
  <c r="AF60" i="1"/>
  <c r="V60" i="1"/>
  <c r="AI59" i="1"/>
  <c r="AH59" i="1"/>
  <c r="AG59" i="1"/>
  <c r="AF59" i="1"/>
  <c r="V59" i="1"/>
  <c r="AI58" i="1"/>
  <c r="AH58" i="1"/>
  <c r="AG58" i="1"/>
  <c r="AF58" i="1"/>
  <c r="V58" i="1"/>
  <c r="AI57" i="1"/>
  <c r="AH57" i="1"/>
  <c r="AG57" i="1"/>
  <c r="AF57" i="1"/>
  <c r="V57" i="1"/>
  <c r="AI56" i="1"/>
  <c r="AH56" i="1"/>
  <c r="AG56" i="1"/>
  <c r="AF56" i="1"/>
  <c r="V56" i="1"/>
  <c r="AI55" i="1"/>
  <c r="AH55" i="1"/>
  <c r="AG55" i="1"/>
  <c r="AF55" i="1"/>
  <c r="V55" i="1"/>
  <c r="AI54" i="1"/>
  <c r="AH54" i="1"/>
  <c r="AG54" i="1"/>
  <c r="AF54" i="1"/>
  <c r="V54" i="1"/>
  <c r="AI53" i="1"/>
  <c r="AH53" i="1"/>
  <c r="AG53" i="1"/>
  <c r="AF53" i="1"/>
  <c r="V53" i="1"/>
  <c r="AI52" i="1"/>
  <c r="AH52" i="1"/>
  <c r="AG52" i="1"/>
  <c r="AF52" i="1"/>
  <c r="V52" i="1"/>
  <c r="AI51" i="1"/>
  <c r="AH51" i="1"/>
  <c r="AG51" i="1"/>
  <c r="AF51" i="1"/>
  <c r="V51" i="1"/>
  <c r="AI50" i="1"/>
  <c r="AH50" i="1"/>
  <c r="AG50" i="1"/>
  <c r="AF50" i="1"/>
  <c r="V50" i="1"/>
  <c r="AI49" i="1"/>
  <c r="AH49" i="1"/>
  <c r="AG49" i="1"/>
  <c r="AF49" i="1"/>
  <c r="V49" i="1"/>
  <c r="AI48" i="1"/>
  <c r="AH48" i="1"/>
  <c r="AG48" i="1"/>
  <c r="AF48" i="1"/>
  <c r="V48" i="1"/>
  <c r="AI47" i="1"/>
  <c r="AH47" i="1"/>
  <c r="AG47" i="1"/>
  <c r="AF47" i="1"/>
  <c r="V47" i="1"/>
  <c r="AI46" i="1"/>
  <c r="AH46" i="1"/>
  <c r="AG46" i="1"/>
  <c r="AF46" i="1"/>
  <c r="V46" i="1"/>
  <c r="AI45" i="1"/>
  <c r="AH45" i="1"/>
  <c r="AG45" i="1"/>
  <c r="AF45" i="1"/>
  <c r="V45" i="1"/>
  <c r="AI44" i="1"/>
  <c r="AH44" i="1"/>
  <c r="AG44" i="1"/>
  <c r="AF44" i="1"/>
  <c r="V44" i="1"/>
  <c r="AI43" i="1"/>
  <c r="AH43" i="1"/>
  <c r="AG43" i="1"/>
  <c r="AF43" i="1"/>
  <c r="V43" i="1"/>
  <c r="AI42" i="1"/>
  <c r="AH42" i="1"/>
  <c r="AG42" i="1"/>
  <c r="AF42" i="1"/>
  <c r="V42" i="1"/>
  <c r="AI41" i="1"/>
  <c r="AH41" i="1"/>
  <c r="AG41" i="1"/>
  <c r="AF41" i="1"/>
  <c r="V41" i="1"/>
  <c r="AI40" i="1"/>
  <c r="AH40" i="1"/>
  <c r="AG40" i="1"/>
  <c r="AF40" i="1"/>
  <c r="V40" i="1"/>
  <c r="AI39" i="1"/>
  <c r="AH39" i="1"/>
  <c r="AG39" i="1"/>
  <c r="AF39" i="1"/>
  <c r="V39" i="1"/>
  <c r="AI38" i="1"/>
  <c r="AH38" i="1"/>
  <c r="AG38" i="1"/>
  <c r="AF38" i="1"/>
  <c r="V38" i="1"/>
  <c r="AI37" i="1"/>
  <c r="AH37" i="1"/>
  <c r="AG37" i="1"/>
  <c r="AF37" i="1"/>
  <c r="V37" i="1"/>
  <c r="AI36" i="1"/>
  <c r="AH36" i="1"/>
  <c r="AG36" i="1"/>
  <c r="AF36" i="1"/>
  <c r="V36" i="1"/>
  <c r="AI35" i="1"/>
  <c r="AH35" i="1"/>
  <c r="AG35" i="1"/>
  <c r="AF35" i="1"/>
  <c r="V35" i="1"/>
  <c r="AI34" i="1"/>
  <c r="AH34" i="1"/>
  <c r="AG34" i="1"/>
  <c r="AF34" i="1"/>
  <c r="V34" i="1"/>
  <c r="AI33" i="1"/>
  <c r="AH33" i="1"/>
  <c r="AG33" i="1"/>
  <c r="AF33" i="1"/>
  <c r="V33" i="1"/>
  <c r="AI32" i="1"/>
  <c r="AH32" i="1"/>
  <c r="AG32" i="1"/>
  <c r="AF32" i="1"/>
  <c r="V32" i="1"/>
  <c r="AI31" i="1"/>
  <c r="AH31" i="1"/>
  <c r="AG31" i="1"/>
  <c r="AF31" i="1"/>
  <c r="V31" i="1"/>
  <c r="AI30" i="1"/>
  <c r="AH30" i="1"/>
  <c r="AG30" i="1"/>
  <c r="AF30" i="1"/>
  <c r="V30" i="1"/>
  <c r="AI29" i="1"/>
  <c r="AH29" i="1"/>
  <c r="AG29" i="1"/>
  <c r="AF29" i="1"/>
  <c r="V29" i="1"/>
  <c r="AI28" i="1"/>
  <c r="AH28" i="1"/>
  <c r="AG28" i="1"/>
  <c r="AF28" i="1"/>
  <c r="V28" i="1"/>
  <c r="AI27" i="1"/>
  <c r="AH27" i="1"/>
  <c r="AG27" i="1"/>
  <c r="AF27" i="1"/>
  <c r="V27" i="1"/>
  <c r="AI26" i="1"/>
  <c r="AH26" i="1"/>
  <c r="AG26" i="1"/>
  <c r="AF26" i="1"/>
  <c r="V26" i="1"/>
  <c r="AI25" i="1"/>
  <c r="AH25" i="1"/>
  <c r="AG25" i="1"/>
  <c r="AF25" i="1"/>
  <c r="V25" i="1"/>
  <c r="AI24" i="1"/>
  <c r="AH24" i="1"/>
  <c r="AG24" i="1"/>
  <c r="AF24" i="1"/>
  <c r="V24" i="1"/>
  <c r="AI23" i="1"/>
  <c r="AH23" i="1"/>
  <c r="AG23" i="1"/>
  <c r="AF23" i="1"/>
  <c r="V23" i="1"/>
  <c r="AI22" i="1"/>
  <c r="AH22" i="1"/>
  <c r="AG22" i="1"/>
  <c r="AF22" i="1"/>
  <c r="V22" i="1"/>
  <c r="AI21" i="1"/>
  <c r="AH21" i="1"/>
  <c r="AG21" i="1"/>
  <c r="AF21" i="1"/>
  <c r="V21" i="1"/>
  <c r="AI20" i="1"/>
  <c r="AH20" i="1"/>
  <c r="AG20" i="1"/>
  <c r="AF20" i="1"/>
  <c r="V20" i="1"/>
  <c r="AI19" i="1"/>
  <c r="AH19" i="1"/>
  <c r="AG19" i="1"/>
  <c r="AF19" i="1"/>
  <c r="V19" i="1"/>
  <c r="AI18" i="1"/>
  <c r="AH18" i="1"/>
  <c r="AG18" i="1"/>
  <c r="AF18" i="1"/>
  <c r="V18" i="1"/>
  <c r="AI17" i="1"/>
  <c r="AH17" i="1"/>
  <c r="AG17" i="1"/>
  <c r="AF17" i="1"/>
  <c r="V17" i="1"/>
  <c r="AI16" i="1"/>
  <c r="AH16" i="1"/>
  <c r="AG16" i="1"/>
  <c r="AF16" i="1"/>
  <c r="V16" i="1"/>
  <c r="AI15" i="1"/>
  <c r="AH15" i="1"/>
  <c r="AG15" i="1"/>
  <c r="AF15" i="1"/>
  <c r="V15" i="1"/>
  <c r="AI14" i="1"/>
  <c r="AH14" i="1"/>
  <c r="AG14" i="1"/>
  <c r="AF14" i="1"/>
  <c r="V14" i="1"/>
  <c r="AI13" i="1"/>
  <c r="AH13" i="1"/>
  <c r="AG13" i="1"/>
  <c r="AF13" i="1"/>
  <c r="V13" i="1"/>
  <c r="AI12" i="1"/>
  <c r="AH12" i="1"/>
  <c r="AG12" i="1"/>
  <c r="AF12" i="1"/>
  <c r="V12" i="1"/>
  <c r="AI11" i="1"/>
  <c r="AH11" i="1"/>
  <c r="AG11" i="1"/>
  <c r="AF11" i="1"/>
  <c r="V11" i="1"/>
  <c r="AI10" i="1"/>
  <c r="AH10" i="1"/>
  <c r="AG10" i="1"/>
  <c r="AF10" i="1"/>
  <c r="V10" i="1"/>
  <c r="AI9" i="1"/>
  <c r="AH9" i="1"/>
  <c r="AG9" i="1"/>
  <c r="AF9" i="1"/>
  <c r="V9" i="1"/>
  <c r="AI8" i="1"/>
  <c r="AH8" i="1"/>
  <c r="AG8" i="1"/>
  <c r="AF8" i="1"/>
  <c r="V8" i="1"/>
  <c r="AI7" i="1"/>
  <c r="AH7" i="1"/>
  <c r="AG7" i="1"/>
  <c r="AF7" i="1"/>
  <c r="V7" i="1"/>
  <c r="AI6" i="1"/>
  <c r="AH6" i="1"/>
  <c r="AG6" i="1"/>
  <c r="AF6" i="1"/>
  <c r="V6" i="1"/>
  <c r="AI5" i="1"/>
  <c r="AH5" i="1"/>
  <c r="AG5" i="1"/>
  <c r="AF5" i="1"/>
  <c r="V5" i="1"/>
  <c r="AI4" i="1"/>
  <c r="AH4" i="1"/>
  <c r="AG4" i="1"/>
  <c r="AF4" i="1"/>
  <c r="V4" i="1"/>
  <c r="AI3" i="1"/>
  <c r="AH3" i="1"/>
  <c r="AG3" i="1"/>
  <c r="AF3" i="1"/>
  <c r="V3" i="1"/>
  <c r="AI2" i="1"/>
  <c r="AP2" i="1" s="1"/>
  <c r="AH2" i="1"/>
  <c r="AF2" i="1"/>
  <c r="V2" i="1"/>
  <c r="AG2" i="1" l="1"/>
</calcChain>
</file>

<file path=xl/sharedStrings.xml><?xml version="1.0" encoding="utf-8"?>
<sst xmlns="http://schemas.openxmlformats.org/spreadsheetml/2006/main" count="947" uniqueCount="946">
  <si>
    <t>Invoice Type</t>
  </si>
  <si>
    <t>Invoice Date</t>
  </si>
  <si>
    <t>DN Invoice Ref No</t>
  </si>
  <si>
    <t>Company Invoice Ref No</t>
  </si>
  <si>
    <t>CUST. A/C NO</t>
  </si>
  <si>
    <t>CUST. LPO NO</t>
  </si>
  <si>
    <t>LPO DATE</t>
  </si>
  <si>
    <t>DEL. NOTE NO</t>
  </si>
  <si>
    <t>SP</t>
  </si>
  <si>
    <t>PRODUCT ORIGIN</t>
  </si>
  <si>
    <t>PRODUCT CERTIFIED BY</t>
  </si>
  <si>
    <t>PAYMENT TERMS</t>
  </si>
  <si>
    <t>PAYMENT DUE</t>
  </si>
  <si>
    <t>GROUP</t>
  </si>
  <si>
    <t>BILL TO</t>
  </si>
  <si>
    <t>SHIP TO</t>
  </si>
  <si>
    <t>Buyer NTN/CNIC</t>
  </si>
  <si>
    <t>Transaction Type</t>
  </si>
  <si>
    <t>Rate</t>
  </si>
  <si>
    <t>SRO Schedule No</t>
  </si>
  <si>
    <t>SRO Item No</t>
  </si>
  <si>
    <t>Sale Type</t>
  </si>
  <si>
    <t>Unit Of Measurement</t>
  </si>
  <si>
    <t>Product Name</t>
  </si>
  <si>
    <t>Value Sales (Excl ST)</t>
  </si>
  <si>
    <t>Quantity in KGS (For FBR)</t>
  </si>
  <si>
    <t>Qty (For Internal Use)</t>
  </si>
  <si>
    <t>Item Code</t>
  </si>
  <si>
    <t>Units</t>
  </si>
  <si>
    <t>Courier Charges</t>
  </si>
  <si>
    <t>VAT</t>
  </si>
  <si>
    <t>Calculated VAT 18%</t>
  </si>
  <si>
    <t>Calculated VAT 25%</t>
  </si>
  <si>
    <t>Unit Cost</t>
  </si>
  <si>
    <t>Sales Tax Applicable</t>
  </si>
  <si>
    <t>ST Withheld at Source</t>
  </si>
  <si>
    <t>Extra Tax</t>
  </si>
  <si>
    <t>Further Tax</t>
  </si>
  <si>
    <t>FED Payable</t>
  </si>
  <si>
    <t>Advance Income Tax</t>
  </si>
  <si>
    <t>Discount</t>
  </si>
  <si>
    <t>Total Values</t>
  </si>
  <si>
    <t>Sale Invoice</t>
  </si>
  <si>
    <t>BALOCHISTAN</t>
  </si>
  <si>
    <t>75 - Goods at standard rate (default)</t>
  </si>
  <si>
    <t>1000 kWh</t>
  </si>
  <si>
    <t>18%</t>
  </si>
  <si>
    <t>N/A</t>
  </si>
  <si>
    <t>Debit Note</t>
  </si>
  <si>
    <t>AZAD JAMMU AND KASHMIR</t>
  </si>
  <si>
    <t>24 - Goods at Reduced Rate</t>
  </si>
  <si>
    <t>40KG</t>
  </si>
  <si>
    <t>0.5%</t>
  </si>
  <si>
    <t>01(I)/2022</t>
  </si>
  <si>
    <t>-</t>
  </si>
  <si>
    <t>CAPITAL TERRITORY</t>
  </si>
  <si>
    <t>80 - Goods at zero-rate</t>
  </si>
  <si>
    <t>Bag</t>
  </si>
  <si>
    <t>1%</t>
  </si>
  <si>
    <t>1450(I)/2021</t>
  </si>
  <si>
    <t>1</t>
  </si>
  <si>
    <t>KHYBER PAKHTUNKHWA</t>
  </si>
  <si>
    <t>85 - Petroleum Products</t>
  </si>
  <si>
    <t>Barrels</t>
  </si>
  <si>
    <t>1.5%</t>
  </si>
  <si>
    <t>1579(1)/2021</t>
  </si>
  <si>
    <t>1(A)</t>
  </si>
  <si>
    <t>PUNJAB</t>
  </si>
  <si>
    <t>62 - Electricity Supply to Retailers</t>
  </si>
  <si>
    <t>Bill of lading</t>
  </si>
  <si>
    <t>2%</t>
  </si>
  <si>
    <t>1604(I)/2021</t>
  </si>
  <si>
    <t>1(B)</t>
  </si>
  <si>
    <t>SINDH</t>
  </si>
  <si>
    <t>129 - SIM</t>
  </si>
  <si>
    <t>Carat</t>
  </si>
  <si>
    <t>3%</t>
  </si>
  <si>
    <t>297(I)/2023-Table-I</t>
  </si>
  <si>
    <t>1(E)</t>
  </si>
  <si>
    <t>GILGIT BALTISTAN</t>
  </si>
  <si>
    <t>77 - Gas to CNG stations</t>
  </si>
  <si>
    <t>Cubic Metre</t>
  </si>
  <si>
    <t>4.5%</t>
  </si>
  <si>
    <t>297(I)/2023-Table-II</t>
  </si>
  <si>
    <t>1(F)</t>
  </si>
  <si>
    <t>122 - Mobile Phones</t>
  </si>
  <si>
    <t>Dozen</t>
  </si>
  <si>
    <t>5%</t>
  </si>
  <si>
    <t>321(I)/2022</t>
  </si>
  <si>
    <t>1(G)</t>
  </si>
  <si>
    <t>25 - Processing/Conversion of Goods</t>
  </si>
  <si>
    <t>Foot</t>
  </si>
  <si>
    <t>7%</t>
  </si>
  <si>
    <t>327(I)/2008</t>
  </si>
  <si>
    <t>1(a)</t>
  </si>
  <si>
    <t xml:space="preserve">23 -  3rd Schedule Goods </t>
  </si>
  <si>
    <t>Gallon</t>
  </si>
  <si>
    <t>7.5%</t>
  </si>
  <si>
    <t>581(1)/2024</t>
  </si>
  <si>
    <t>1(b)</t>
  </si>
  <si>
    <t>21 - Goods (FED in ST Mode)</t>
  </si>
  <si>
    <t>Gram</t>
  </si>
  <si>
    <t>8%</t>
  </si>
  <si>
    <t>587(I)/2017</t>
  </si>
  <si>
    <t>1(i)</t>
  </si>
  <si>
    <t xml:space="preserve">22 -  Services (FED in ST Mode) </t>
  </si>
  <si>
    <t>KG</t>
  </si>
  <si>
    <t>8.5%</t>
  </si>
  <si>
    <t>6th Schd Table I</t>
  </si>
  <si>
    <t>1(i)(a)</t>
  </si>
  <si>
    <t xml:space="preserve">18 -  Services </t>
  </si>
  <si>
    <t>KWH</t>
  </si>
  <si>
    <t>10%</t>
  </si>
  <si>
    <t>6th Schd Table II</t>
  </si>
  <si>
    <t>1(i)(b)</t>
  </si>
  <si>
    <t>81 - Exempt goods</t>
  </si>
  <si>
    <t>Kilogram</t>
  </si>
  <si>
    <t>12%</t>
  </si>
  <si>
    <t>6th Schd Table III</t>
  </si>
  <si>
    <t>1(i)(i)</t>
  </si>
  <si>
    <t>82 - DTRE goods</t>
  </si>
  <si>
    <t>Liter</t>
  </si>
  <si>
    <t>12.5%</t>
  </si>
  <si>
    <t>88(I)/2022</t>
  </si>
  <si>
    <t>1(ii)</t>
  </si>
  <si>
    <t>130 - Cotton ginners</t>
  </si>
  <si>
    <t>MMBTU</t>
  </si>
  <si>
    <t>12.75%</t>
  </si>
  <si>
    <t>EIGHTH SCHEDULE Table 1</t>
  </si>
  <si>
    <t>1(ii)(a)</t>
  </si>
  <si>
    <t>132 - Electric Vehicle</t>
  </si>
  <si>
    <t>MT</t>
  </si>
  <si>
    <t>13%</t>
  </si>
  <si>
    <t>EIGHTH SCHEDULE Table 2</t>
  </si>
  <si>
    <t>1(ii)(b)</t>
  </si>
  <si>
    <t>134 - Cement /Concrete Block</t>
  </si>
  <si>
    <t>Mega Watt</t>
  </si>
  <si>
    <t>14%</t>
  </si>
  <si>
    <t>Eighth Schedule Table 1</t>
  </si>
  <si>
    <t>1(ii)(ii)(a)</t>
  </si>
  <si>
    <t>84 - Telecommunication services</t>
  </si>
  <si>
    <t>Meter</t>
  </si>
  <si>
    <t>15%</t>
  </si>
  <si>
    <t>FIFTH SCHEDULE</t>
  </si>
  <si>
    <t>1(ii)(ii)(b)</t>
  </si>
  <si>
    <t>123 - Steel melting and re-rolling</t>
  </si>
  <si>
    <t>NO</t>
  </si>
  <si>
    <t>17%</t>
  </si>
  <si>
    <t>ICTO</t>
  </si>
  <si>
    <t>1(iii)</t>
  </si>
  <si>
    <t>125 - Ship breaking</t>
  </si>
  <si>
    <t>Numbers, pieces, units</t>
  </si>
  <si>
    <t>Rs.700/MT</t>
  </si>
  <si>
    <t>ICTO TABLE I</t>
  </si>
  <si>
    <t>1(iv)</t>
  </si>
  <si>
    <t>115 - Potassium Chlorate</t>
  </si>
  <si>
    <t>Others</t>
  </si>
  <si>
    <t>0%</t>
  </si>
  <si>
    <t>ICTO TABLE II</t>
  </si>
  <si>
    <t>1(v)</t>
  </si>
  <si>
    <t>178 - CNG Sales</t>
  </si>
  <si>
    <t>Packs</t>
  </si>
  <si>
    <t>Exempt</t>
  </si>
  <si>
    <t>NINTH SCHEDULE</t>
  </si>
  <si>
    <t>1(vi)</t>
  </si>
  <si>
    <t>181 - Toll Manufacturing</t>
  </si>
  <si>
    <t>Pair</t>
  </si>
  <si>
    <t>0.20%</t>
  </si>
  <si>
    <t>SECTION 49</t>
  </si>
  <si>
    <t>10</t>
  </si>
  <si>
    <t>138 - Non-Adjustable Supplies</t>
  </si>
  <si>
    <t>Pcs</t>
  </si>
  <si>
    <t>0.46%</t>
  </si>
  <si>
    <t>Section 4(b)</t>
  </si>
  <si>
    <t>100</t>
  </si>
  <si>
    <t>139 - Goods as per SRO.297(|)/2023</t>
  </si>
  <si>
    <t>Pound</t>
  </si>
  <si>
    <t>1.43%</t>
  </si>
  <si>
    <t>100A</t>
  </si>
  <si>
    <t>SET</t>
  </si>
  <si>
    <t>1.63%</t>
  </si>
  <si>
    <t>100A((i))</t>
  </si>
  <si>
    <t>SqY</t>
  </si>
  <si>
    <t>2.5%</t>
  </si>
  <si>
    <t>100A((ii))</t>
  </si>
  <si>
    <t>Square Foot</t>
  </si>
  <si>
    <t>2.70%</t>
  </si>
  <si>
    <t>100A((iii))</t>
  </si>
  <si>
    <t>Square Metre</t>
  </si>
  <si>
    <t>2.74%</t>
  </si>
  <si>
    <t>100B</t>
  </si>
  <si>
    <t>Thousand Unit</t>
  </si>
  <si>
    <t>3.67%</t>
  </si>
  <si>
    <t>100B((i))</t>
  </si>
  <si>
    <t>Timber Logs</t>
  </si>
  <si>
    <t>4.77%</t>
  </si>
  <si>
    <t>100B((ii))</t>
  </si>
  <si>
    <t>5.44%</t>
  </si>
  <si>
    <t>100B((iii))</t>
  </si>
  <si>
    <t>6.70%</t>
  </si>
  <si>
    <t>100B((iv))</t>
  </si>
  <si>
    <t>6.75%</t>
  </si>
  <si>
    <t>100B((v))</t>
  </si>
  <si>
    <t>6.84%</t>
  </si>
  <si>
    <t>100B((vi))</t>
  </si>
  <si>
    <t>7.20%</t>
  </si>
  <si>
    <t>100C</t>
  </si>
  <si>
    <t>7.37%</t>
  </si>
  <si>
    <t>101</t>
  </si>
  <si>
    <t>7.56%</t>
  </si>
  <si>
    <t>102</t>
  </si>
  <si>
    <t>8.19%</t>
  </si>
  <si>
    <t>103</t>
  </si>
  <si>
    <t>8.30%</t>
  </si>
  <si>
    <t>104</t>
  </si>
  <si>
    <t>9.08%</t>
  </si>
  <si>
    <t>104(a)</t>
  </si>
  <si>
    <t>9.15%</t>
  </si>
  <si>
    <t>104(b)</t>
  </si>
  <si>
    <t>10.07%</t>
  </si>
  <si>
    <t>104(c)</t>
  </si>
  <si>
    <t>10.32%</t>
  </si>
  <si>
    <t>104(d)</t>
  </si>
  <si>
    <t>10.54%</t>
  </si>
  <si>
    <t>104(e)</t>
  </si>
  <si>
    <t>10.77%</t>
  </si>
  <si>
    <t>104(f)</t>
  </si>
  <si>
    <t>11.64%</t>
  </si>
  <si>
    <t>104(g)</t>
  </si>
  <si>
    <t>15.44%</t>
  </si>
  <si>
    <t>104(h)</t>
  </si>
  <si>
    <t>16.40%</t>
  </si>
  <si>
    <t>105</t>
  </si>
  <si>
    <t>Rs.250</t>
  </si>
  <si>
    <t>106</t>
  </si>
  <si>
    <t>25%</t>
  </si>
  <si>
    <t>107</t>
  </si>
  <si>
    <t>16%</t>
  </si>
  <si>
    <t>108</t>
  </si>
  <si>
    <t>19.5%</t>
  </si>
  <si>
    <t>108(a)</t>
  </si>
  <si>
    <t>200/bill</t>
  </si>
  <si>
    <t>108(b)</t>
  </si>
  <si>
    <t>18.5%</t>
  </si>
  <si>
    <t>108(c)</t>
  </si>
  <si>
    <t>50/SqY</t>
  </si>
  <si>
    <t>108(d)</t>
  </si>
  <si>
    <t>100/SqY</t>
  </si>
  <si>
    <t>108(e)</t>
  </si>
  <si>
    <t>Rs.1000</t>
  </si>
  <si>
    <t>108(f)</t>
  </si>
  <si>
    <t>DTRE</t>
  </si>
  <si>
    <t>108(g)</t>
  </si>
  <si>
    <t>Rs.2</t>
  </si>
  <si>
    <t>108(h)</t>
  </si>
  <si>
    <t>Rs.3</t>
  </si>
  <si>
    <t>108(i)</t>
  </si>
  <si>
    <t>Rs.5</t>
  </si>
  <si>
    <t>108(j)</t>
  </si>
  <si>
    <t>Rs.10</t>
  </si>
  <si>
    <t>108(k)</t>
  </si>
  <si>
    <t>18% along with rupees 60 per kilogram</t>
  </si>
  <si>
    <t>109</t>
  </si>
  <si>
    <t>Rs.200</t>
  </si>
  <si>
    <t>11</t>
  </si>
  <si>
    <t>11(a)</t>
  </si>
  <si>
    <t>11(b)</t>
  </si>
  <si>
    <t>11(i)</t>
  </si>
  <si>
    <t>11(ii)</t>
  </si>
  <si>
    <t>11(iii)</t>
  </si>
  <si>
    <t>11(iv)</t>
  </si>
  <si>
    <t>11(v)</t>
  </si>
  <si>
    <t>11(vi)</t>
  </si>
  <si>
    <t>11(vii)</t>
  </si>
  <si>
    <t>11(viii)</t>
  </si>
  <si>
    <t>110</t>
  </si>
  <si>
    <t>110(a)</t>
  </si>
  <si>
    <t>110(b)</t>
  </si>
  <si>
    <t>110(c)</t>
  </si>
  <si>
    <t>110(d)</t>
  </si>
  <si>
    <t>110(e)</t>
  </si>
  <si>
    <t>110(f)</t>
  </si>
  <si>
    <t>110(g)</t>
  </si>
  <si>
    <t>110(h)</t>
  </si>
  <si>
    <t>110(i)</t>
  </si>
  <si>
    <t>110(j)</t>
  </si>
  <si>
    <t>111</t>
  </si>
  <si>
    <t>112</t>
  </si>
  <si>
    <t>112A</t>
  </si>
  <si>
    <t>112A(i)</t>
  </si>
  <si>
    <t>112A(ii)</t>
  </si>
  <si>
    <t>112A(iii)</t>
  </si>
  <si>
    <t>112A(iv)</t>
  </si>
  <si>
    <t>112A(ix)</t>
  </si>
  <si>
    <t>112A(v)</t>
  </si>
  <si>
    <t>112A(vi)</t>
  </si>
  <si>
    <t>112A(vii)</t>
  </si>
  <si>
    <t>112A(viii)</t>
  </si>
  <si>
    <t>112A(x)</t>
  </si>
  <si>
    <t/>
  </si>
  <si>
    <t>112A(xi)</t>
  </si>
  <si>
    <t>112A(xii)</t>
  </si>
  <si>
    <t>INSTRUCTIONS:</t>
  </si>
  <si>
    <t>112A(xiii)</t>
  </si>
  <si>
    <t>1. This Excel template includes automatic calculations and dropdown validations.</t>
  </si>
  <si>
    <t>112A(xiv)</t>
  </si>
  <si>
    <t>2. Fill in the required fields: Invoice Type, Invoice Date, Company Invoice Ref No, Buyer NTN/CNIC.</t>
  </si>
  <si>
    <t>112A(xix)</t>
  </si>
  <si>
    <t>3. Select Transaction Type from the dropdown list - Sales Type will auto-populate.</t>
  </si>
  <si>
    <t>112A(xv)</t>
  </si>
  <si>
    <t>4. Enter Product Name, HS Code, Quantity, and Value Sales (Excl. ST).</t>
  </si>
  <si>
    <t>112A(xvi)</t>
  </si>
  <si>
    <t>5. Select Rate, SRO Schedule No, SRO Item No, and UoM from dropdown lists.</t>
  </si>
  <si>
    <t>112A(xvii)</t>
  </si>
  <si>
    <t>6. Unit Price auto-calculates as Value Sales (Excl. ST) ÷ Quantity.</t>
  </si>
  <si>
    <t>112A(xviii)</t>
  </si>
  <si>
    <t>7. Sales Tax Applicable auto-calculates: Value Sales (Excl. ST) × (Rate ÷ 100).</t>
  </si>
  <si>
    <t>112A(xx)</t>
  </si>
  <si>
    <t>8. Total Values auto-calculates: (Value Excl. ST + Sales Tax + FED + ST W/H + Further Tax + Extra Tax) minus Discount.</t>
  </si>
  <si>
    <t>112A(xxi)</t>
  </si>
  <si>
    <t>9. Extra Tax, Further Tax, FED Payable, and Discount are optional fields.</t>
  </si>
  <si>
    <t>112A(xxii)</t>
  </si>
  <si>
    <t>10. All dropdown lists contain values from the FBR API system.</t>
  </si>
  <si>
    <t>112A(xxiii)</t>
  </si>
  <si>
    <t>11. For best results, save the file as .xlsx format before uploading.</t>
  </si>
  <si>
    <t>112A(xxiv)</t>
  </si>
  <si>
    <t>112A(xxv)</t>
  </si>
  <si>
    <t>112B</t>
  </si>
  <si>
    <t>112B(i)</t>
  </si>
  <si>
    <t>112B(ii)</t>
  </si>
  <si>
    <t>112B(iii)</t>
  </si>
  <si>
    <t>112B(iv)</t>
  </si>
  <si>
    <t>112B(v)</t>
  </si>
  <si>
    <t>112B(vi)</t>
  </si>
  <si>
    <t>112B(vii)</t>
  </si>
  <si>
    <t>112C</t>
  </si>
  <si>
    <t>112C(i)</t>
  </si>
  <si>
    <t>112C(ii)</t>
  </si>
  <si>
    <t>112C(iii)</t>
  </si>
  <si>
    <t>112C(iv)</t>
  </si>
  <si>
    <t>112C(ix)</t>
  </si>
  <si>
    <t>112C(v)</t>
  </si>
  <si>
    <t>112C(vi)</t>
  </si>
  <si>
    <t>112C(vii)</t>
  </si>
  <si>
    <t>112C(viii)</t>
  </si>
  <si>
    <t>112C(x)</t>
  </si>
  <si>
    <t>112D</t>
  </si>
  <si>
    <t>112E</t>
  </si>
  <si>
    <t>112F</t>
  </si>
  <si>
    <t>112G</t>
  </si>
  <si>
    <t>112H</t>
  </si>
  <si>
    <t>112H(i)</t>
  </si>
  <si>
    <t>112H(ii)</t>
  </si>
  <si>
    <t>112H(iii)</t>
  </si>
  <si>
    <t>112H(iv)</t>
  </si>
  <si>
    <t>112H(ix)</t>
  </si>
  <si>
    <t>112H(v)</t>
  </si>
  <si>
    <t>112H(vi)</t>
  </si>
  <si>
    <t>112H(vii)</t>
  </si>
  <si>
    <t>112H(viii)</t>
  </si>
  <si>
    <t>112H(x)</t>
  </si>
  <si>
    <t>112H(xi)</t>
  </si>
  <si>
    <t>112I</t>
  </si>
  <si>
    <t>112I(i)</t>
  </si>
  <si>
    <t>112J</t>
  </si>
  <si>
    <t>112J(i)</t>
  </si>
  <si>
    <t>112J(ii)</t>
  </si>
  <si>
    <t>112J(iii)</t>
  </si>
  <si>
    <t>112J(iv)</t>
  </si>
  <si>
    <t>112J(ix)</t>
  </si>
  <si>
    <t>112J(v)</t>
  </si>
  <si>
    <t>112J(vi)</t>
  </si>
  <si>
    <t>112J(vii)</t>
  </si>
  <si>
    <t>112J(viii)</t>
  </si>
  <si>
    <t>112J(viii)(a)</t>
  </si>
  <si>
    <t>112J(viii)(b)</t>
  </si>
  <si>
    <t>112J(viii)(c)</t>
  </si>
  <si>
    <t>112J(x)</t>
  </si>
  <si>
    <t>112J(xi)</t>
  </si>
  <si>
    <t>112J(xii)</t>
  </si>
  <si>
    <t>112K</t>
  </si>
  <si>
    <t>112K(i)</t>
  </si>
  <si>
    <t>112K(ii)</t>
  </si>
  <si>
    <t>112K(iii)</t>
  </si>
  <si>
    <t>112K(iv)</t>
  </si>
  <si>
    <t>112K(ix)</t>
  </si>
  <si>
    <t>112K(v)</t>
  </si>
  <si>
    <t>112K(vi)</t>
  </si>
  <si>
    <t>112K(vii)</t>
  </si>
  <si>
    <t>112K(viii)</t>
  </si>
  <si>
    <t>112K(x)</t>
  </si>
  <si>
    <t>112K(xi)</t>
  </si>
  <si>
    <t>112K(xii)</t>
  </si>
  <si>
    <t>112K(xiii)</t>
  </si>
  <si>
    <t>112K(xiv)</t>
  </si>
  <si>
    <t>112K(xv)</t>
  </si>
  <si>
    <t>112K(xvi)</t>
  </si>
  <si>
    <t>112K(xvii)</t>
  </si>
  <si>
    <t>112K(xviii)</t>
  </si>
  <si>
    <t>112L</t>
  </si>
  <si>
    <t>113</t>
  </si>
  <si>
    <t>113(i)</t>
  </si>
  <si>
    <t>113(ii)</t>
  </si>
  <si>
    <t>113(iii)</t>
  </si>
  <si>
    <t>114</t>
  </si>
  <si>
    <t>114(i)</t>
  </si>
  <si>
    <t>114(ii)</t>
  </si>
  <si>
    <t>115</t>
  </si>
  <si>
    <t>116</t>
  </si>
  <si>
    <t>117</t>
  </si>
  <si>
    <t>118</t>
  </si>
  <si>
    <t>119</t>
  </si>
  <si>
    <t>12</t>
  </si>
  <si>
    <t>12(xix)</t>
  </si>
  <si>
    <t>12(xvii)</t>
  </si>
  <si>
    <t>12(xx)</t>
  </si>
  <si>
    <t>12(xxi)</t>
  </si>
  <si>
    <t>12(xxii)</t>
  </si>
  <si>
    <t>12(xxiii)</t>
  </si>
  <si>
    <t>12(xxiv)</t>
  </si>
  <si>
    <t>12(xxv)</t>
  </si>
  <si>
    <t>12(xxvi)</t>
  </si>
  <si>
    <t>12(xxvii)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</si>
  <si>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</si>
  <si>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</si>
  <si>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</si>
  <si>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</si>
  <si>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</si>
  <si>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</si>
  <si>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</si>
  <si>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</si>
  <si>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</si>
  <si>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</si>
  <si>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</si>
  <si>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</si>
  <si>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</si>
  <si>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</si>
  <si>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</si>
  <si>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</si>
  <si>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</si>
  <si>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</si>
  <si>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</si>
  <si>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</si>
  <si>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</si>
  <si>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</t>
  </si>
  <si>
    <t>14(1)</t>
  </si>
  <si>
    <t>14(1)(i)</t>
  </si>
  <si>
    <t>14(1)(ii)</t>
  </si>
  <si>
    <t>14(1)(iii)</t>
  </si>
  <si>
    <t>14(1)(iv)</t>
  </si>
  <si>
    <t>14(1)(v)</t>
  </si>
  <si>
    <t>14(1)(vi)</t>
  </si>
  <si>
    <t>14(2)</t>
  </si>
  <si>
    <t>140</t>
  </si>
  <si>
    <t>141</t>
  </si>
  <si>
    <t>142</t>
  </si>
  <si>
    <t>143</t>
  </si>
  <si>
    <t>143(i)</t>
  </si>
  <si>
    <t>143(i)(a)</t>
  </si>
  <si>
    <t>143(i)(b)</t>
  </si>
  <si>
    <t>143(i)(c)</t>
  </si>
  <si>
    <t>143(i)(d)</t>
  </si>
  <si>
    <t>144</t>
  </si>
  <si>
    <t>145</t>
  </si>
  <si>
    <t>145(i)</t>
  </si>
  <si>
    <t>145(ii)</t>
  </si>
  <si>
    <t>145(iii)</t>
  </si>
  <si>
    <t>145(iv)</t>
  </si>
  <si>
    <t>145(ix)</t>
  </si>
  <si>
    <t>145(v)</t>
  </si>
  <si>
    <t>145(vi)</t>
  </si>
  <si>
    <t>145(vii)</t>
  </si>
  <si>
    <t>145(viii)</t>
  </si>
  <si>
    <t>145(x)</t>
  </si>
  <si>
    <t>146</t>
  </si>
  <si>
    <t>146(a)</t>
  </si>
  <si>
    <t>146(b)</t>
  </si>
  <si>
    <t>146(c)</t>
  </si>
  <si>
    <t>146(d)</t>
  </si>
  <si>
    <t>146(e)</t>
  </si>
  <si>
    <t>146(f)</t>
  </si>
  <si>
    <t>146(g)</t>
  </si>
  <si>
    <t>146(h)</t>
  </si>
  <si>
    <t>146(i)</t>
  </si>
  <si>
    <t>146(j)</t>
  </si>
  <si>
    <t>147</t>
  </si>
  <si>
    <t>148</t>
  </si>
  <si>
    <t>149</t>
  </si>
  <si>
    <t>14A</t>
  </si>
  <si>
    <t>14A(10)</t>
  </si>
  <si>
    <t>14A(11)</t>
  </si>
  <si>
    <t>14A(12)</t>
  </si>
  <si>
    <t>14A(12a)</t>
  </si>
  <si>
    <t>14A(12b)</t>
  </si>
  <si>
    <t>14A(12b)(i)</t>
  </si>
  <si>
    <t>14A(12b)(ii)</t>
  </si>
  <si>
    <t>14A(12b)(iii)</t>
  </si>
  <si>
    <t>14A(12b)(iv)</t>
  </si>
  <si>
    <t>14A(12b)(v)</t>
  </si>
  <si>
    <t>14A(12b)(vi)</t>
  </si>
  <si>
    <t>14A(13)</t>
  </si>
  <si>
    <t>14A(14)</t>
  </si>
  <si>
    <t>14A(14)(i)</t>
  </si>
  <si>
    <t>14A(14)(ii)</t>
  </si>
  <si>
    <t>14A(14)(iii)</t>
  </si>
  <si>
    <t>14A(14)(iv)</t>
  </si>
  <si>
    <t>14A(14)(ix)</t>
  </si>
  <si>
    <t>14A(14)(v)</t>
  </si>
  <si>
    <t>14A(14)(vi)</t>
  </si>
  <si>
    <t>14A(14)(vii)</t>
  </si>
  <si>
    <t>14A(14)(viii)</t>
  </si>
  <si>
    <t>14A(14)(x)</t>
  </si>
  <si>
    <t>14A(1a)</t>
  </si>
  <si>
    <t>14A(1b)</t>
  </si>
  <si>
    <t>14A(1b)(i)</t>
  </si>
  <si>
    <t>14A(1b)(ii)</t>
  </si>
  <si>
    <t>14A(1b)(iii)</t>
  </si>
  <si>
    <t>14A(1b)(iv)</t>
  </si>
  <si>
    <t>14A(1b)(v)</t>
  </si>
  <si>
    <t>14A(1b)(vi)</t>
  </si>
  <si>
    <t>14A(2a)</t>
  </si>
  <si>
    <t>14A(2b)</t>
  </si>
  <si>
    <t>14A(2b)(i)</t>
  </si>
  <si>
    <t>14A(2b)(ii)</t>
  </si>
  <si>
    <t>14A(2b)(iii)</t>
  </si>
  <si>
    <t>14A(2b)(iv)</t>
  </si>
  <si>
    <t>14A(2b)(v)</t>
  </si>
  <si>
    <t>14A(3a)</t>
  </si>
  <si>
    <t>14A(3b)</t>
  </si>
  <si>
    <t>14A(3b)(i)</t>
  </si>
  <si>
    <t>14A(3b)(ii)</t>
  </si>
  <si>
    <t>14A(3b)(iii)</t>
  </si>
  <si>
    <t>14A(3b)(iv)</t>
  </si>
  <si>
    <t>14A(3b)(v)</t>
  </si>
  <si>
    <t>14A(3b)(vi)</t>
  </si>
  <si>
    <t>14A(4a)</t>
  </si>
  <si>
    <t>14A(4b)</t>
  </si>
  <si>
    <t>14A(4b)(i)</t>
  </si>
  <si>
    <t>14A(4b)(ii)</t>
  </si>
  <si>
    <t>14A(4b)(iii)</t>
  </si>
  <si>
    <t>14A(4b)(iv)</t>
  </si>
  <si>
    <t>14A(4b)(v)</t>
  </si>
  <si>
    <t>14A(5)</t>
  </si>
  <si>
    <t>14A(6a)</t>
  </si>
  <si>
    <t>14A(6b)</t>
  </si>
  <si>
    <t>14A(6b)(i)</t>
  </si>
  <si>
    <t>14A(6b)(ii)</t>
  </si>
  <si>
    <t>14A(6b)(iii)</t>
  </si>
  <si>
    <t>14A(6b)(iv)</t>
  </si>
  <si>
    <t>14A(6c)</t>
  </si>
  <si>
    <t>14A(6c)(i)</t>
  </si>
  <si>
    <t>14A(6c)(ii)</t>
  </si>
  <si>
    <t>14A(6c)(iii)</t>
  </si>
  <si>
    <t>14A(6c)(iv)</t>
  </si>
  <si>
    <t>14A(6c)(v)</t>
  </si>
  <si>
    <t>14A(6c)(vi)</t>
  </si>
  <si>
    <t>14A(7a)</t>
  </si>
  <si>
    <t>14A(7b)</t>
  </si>
  <si>
    <t>14A(7b)(i)</t>
  </si>
  <si>
    <t>14A(7b)(ii)</t>
  </si>
  <si>
    <t>14A(7b)(iii)</t>
  </si>
  <si>
    <t>14A(7b)(iv)</t>
  </si>
  <si>
    <t>14A(7b)(ix)</t>
  </si>
  <si>
    <t>14A(7b)(v)</t>
  </si>
  <si>
    <t>14A(7b)(vi)</t>
  </si>
  <si>
    <t>14A(7b)(vii)</t>
  </si>
  <si>
    <t>14A(7b)(viii)</t>
  </si>
  <si>
    <t>14A(7b)(x)</t>
  </si>
  <si>
    <t>14A(7b)(xi)</t>
  </si>
  <si>
    <t>14A(8)</t>
  </si>
  <si>
    <t>14A(8)(i)</t>
  </si>
  <si>
    <t>14A(8)(ii)</t>
  </si>
  <si>
    <t>14A(8)(iii)</t>
  </si>
  <si>
    <t>14A(8)(iv)</t>
  </si>
  <si>
    <t>14A(8)(v)</t>
  </si>
  <si>
    <t>14A(8)(vi)</t>
  </si>
  <si>
    <t>14A(8)(vii)</t>
  </si>
  <si>
    <t>14A(8)(viii)</t>
  </si>
  <si>
    <t>14A(9)</t>
  </si>
  <si>
    <t>15</t>
  </si>
  <si>
    <t>15(a)</t>
  </si>
  <si>
    <t>15(b)</t>
  </si>
  <si>
    <t>15(c.)</t>
  </si>
  <si>
    <t>15(i)</t>
  </si>
  <si>
    <t>15(ii)</t>
  </si>
  <si>
    <t>15(iii)</t>
  </si>
  <si>
    <t>15(iv)</t>
  </si>
  <si>
    <t>15(ix)</t>
  </si>
  <si>
    <t>15(v)</t>
  </si>
  <si>
    <t>15(vi)</t>
  </si>
  <si>
    <t>15(vii)</t>
  </si>
  <si>
    <t>15(viii)</t>
  </si>
  <si>
    <t>15(x)</t>
  </si>
  <si>
    <t>15(xi)</t>
  </si>
  <si>
    <t>15(xii)</t>
  </si>
  <si>
    <t>15(xiii)</t>
  </si>
  <si>
    <t>15(xiv)</t>
  </si>
  <si>
    <t>15(xv)</t>
  </si>
  <si>
    <t>15(xvi)</t>
  </si>
  <si>
    <t>150</t>
  </si>
  <si>
    <t>150(a)</t>
  </si>
  <si>
    <t>150(b)</t>
  </si>
  <si>
    <t>151(a)</t>
  </si>
  <si>
    <t>151(b)</t>
  </si>
  <si>
    <t>152</t>
  </si>
  <si>
    <t>153</t>
  </si>
  <si>
    <t>154</t>
  </si>
  <si>
    <t>155</t>
  </si>
  <si>
    <t>156</t>
  </si>
  <si>
    <t>159</t>
  </si>
  <si>
    <t>15A(i)</t>
  </si>
  <si>
    <t>15A(ii)</t>
  </si>
  <si>
    <t>15A(iii)</t>
  </si>
  <si>
    <t>15A(iv)</t>
  </si>
  <si>
    <t>16</t>
  </si>
  <si>
    <t>160</t>
  </si>
  <si>
    <t>163</t>
  </si>
  <si>
    <t>164</t>
  </si>
  <si>
    <t>165</t>
  </si>
  <si>
    <t>166</t>
  </si>
  <si>
    <t>167</t>
  </si>
  <si>
    <t>168</t>
  </si>
  <si>
    <t>169</t>
  </si>
  <si>
    <t>17</t>
  </si>
  <si>
    <t>170</t>
  </si>
  <si>
    <t>171</t>
  </si>
  <si>
    <t>172</t>
  </si>
  <si>
    <t>173</t>
  </si>
  <si>
    <t>174</t>
  </si>
  <si>
    <t>175</t>
  </si>
  <si>
    <t>176</t>
  </si>
  <si>
    <t>176(i)</t>
  </si>
  <si>
    <t>176(ii)</t>
  </si>
  <si>
    <t>176(iii)</t>
  </si>
  <si>
    <t>176(iv)</t>
  </si>
  <si>
    <t>176(vi)</t>
  </si>
  <si>
    <t>177</t>
  </si>
  <si>
    <t>178</t>
  </si>
  <si>
    <t>179</t>
  </si>
  <si>
    <t>18</t>
  </si>
  <si>
    <t>18(i)</t>
  </si>
  <si>
    <t>18(ii)</t>
  </si>
  <si>
    <t>18(iii)</t>
  </si>
  <si>
    <t>18(iv)</t>
  </si>
  <si>
    <t>18(ix)</t>
  </si>
  <si>
    <t>18(v)</t>
  </si>
  <si>
    <t>18(vi)</t>
  </si>
  <si>
    <t>18(vii)</t>
  </si>
  <si>
    <t>18(viii)</t>
  </si>
  <si>
    <t>18(x)</t>
  </si>
  <si>
    <t>18(xi)</t>
  </si>
  <si>
    <t>18(xii)</t>
  </si>
  <si>
    <t>18(xiii)</t>
  </si>
  <si>
    <t>18(xiv)</t>
  </si>
  <si>
    <t>18(xix)</t>
  </si>
  <si>
    <t>18(xv)</t>
  </si>
  <si>
    <t>18(xvi)</t>
  </si>
  <si>
    <t>18(xvii)</t>
  </si>
  <si>
    <t>18(xviii)</t>
  </si>
  <si>
    <t>18(xx)</t>
  </si>
  <si>
    <t>18(xxi)</t>
  </si>
  <si>
    <t>180</t>
  </si>
  <si>
    <t>181</t>
  </si>
  <si>
    <t>181A</t>
  </si>
  <si>
    <t>182</t>
  </si>
  <si>
    <t>183</t>
  </si>
  <si>
    <t>184</t>
  </si>
  <si>
    <t>185</t>
  </si>
  <si>
    <t>19</t>
  </si>
  <si>
    <t>2</t>
  </si>
  <si>
    <t>2(a)</t>
  </si>
  <si>
    <t>2(b)</t>
  </si>
  <si>
    <t>2(i)</t>
  </si>
  <si>
    <t>2(ii)</t>
  </si>
  <si>
    <t>2(ii)(a)</t>
  </si>
  <si>
    <t>2(ii)(b)</t>
  </si>
  <si>
    <t>2(iii)</t>
  </si>
  <si>
    <t>20</t>
  </si>
  <si>
    <t>21</t>
  </si>
  <si>
    <t>22</t>
  </si>
  <si>
    <t>23</t>
  </si>
  <si>
    <t>24</t>
  </si>
  <si>
    <t>25</t>
  </si>
  <si>
    <t>26</t>
  </si>
  <si>
    <t>26(i)</t>
  </si>
  <si>
    <t>26(ii)</t>
  </si>
  <si>
    <t>26(iii)</t>
  </si>
  <si>
    <t>26(iv)</t>
  </si>
  <si>
    <t>26(ix)</t>
  </si>
  <si>
    <t>26(v)</t>
  </si>
  <si>
    <t>26(vi)</t>
  </si>
  <si>
    <t>26(vii)</t>
  </si>
  <si>
    <t>26(viii)</t>
  </si>
  <si>
    <t>26(x)</t>
  </si>
  <si>
    <t>26(xi)</t>
  </si>
  <si>
    <t>26(xii)</t>
  </si>
  <si>
    <t>26(xiii)</t>
  </si>
  <si>
    <t>26(xiv)</t>
  </si>
  <si>
    <t>26(xix)</t>
  </si>
  <si>
    <t>26(xv)</t>
  </si>
  <si>
    <t>26(xvi)</t>
  </si>
  <si>
    <t>26(xvii)</t>
  </si>
  <si>
    <t>26(xviii)</t>
  </si>
  <si>
    <t>27</t>
  </si>
  <si>
    <t>27(i)</t>
  </si>
  <si>
    <t>27(ii)</t>
  </si>
  <si>
    <t>27(iii)</t>
  </si>
  <si>
    <t>27(iv)</t>
  </si>
  <si>
    <t>27(v)</t>
  </si>
  <si>
    <t>27(vi)</t>
  </si>
  <si>
    <t>27(vii)</t>
  </si>
  <si>
    <t>27A</t>
  </si>
  <si>
    <t>28</t>
  </si>
  <si>
    <t>28(i)</t>
  </si>
  <si>
    <t>28(ii)</t>
  </si>
  <si>
    <t>28(iii)</t>
  </si>
  <si>
    <t>28(iv)</t>
  </si>
  <si>
    <t>28(v)</t>
  </si>
  <si>
    <t>28(vi)</t>
  </si>
  <si>
    <t>29</t>
  </si>
  <si>
    <t>29(i)</t>
  </si>
  <si>
    <t>29(ii)</t>
  </si>
  <si>
    <t>29(iii)</t>
  </si>
  <si>
    <t>29(iv)</t>
  </si>
  <si>
    <t>29(ix)</t>
  </si>
  <si>
    <t>29(v)</t>
  </si>
  <si>
    <t>29(vi)</t>
  </si>
  <si>
    <t>29(vii)</t>
  </si>
  <si>
    <t>29(viii)</t>
  </si>
  <si>
    <t>29(x)</t>
  </si>
  <si>
    <t>29(xi)</t>
  </si>
  <si>
    <t>29(xii)</t>
  </si>
  <si>
    <t>29(xiii)</t>
  </si>
  <si>
    <t>29(xiv)</t>
  </si>
  <si>
    <t>29(xv)</t>
  </si>
  <si>
    <t>29(xvi)</t>
  </si>
  <si>
    <t>29(xvii)</t>
  </si>
  <si>
    <t>29(xviii)</t>
  </si>
  <si>
    <t>29C</t>
  </si>
  <si>
    <t>2A</t>
  </si>
  <si>
    <t>2A(i)</t>
  </si>
  <si>
    <t>2A(ii)</t>
  </si>
  <si>
    <t>2A(iii)</t>
  </si>
  <si>
    <t>2A(iv)</t>
  </si>
  <si>
    <t>2A(ix)</t>
  </si>
  <si>
    <t>2A(v)</t>
  </si>
  <si>
    <t>2A(vi)</t>
  </si>
  <si>
    <t>2A(vii)</t>
  </si>
  <si>
    <t>2A(viii)</t>
  </si>
  <si>
    <t>2B</t>
  </si>
  <si>
    <t>2B(i)</t>
  </si>
  <si>
    <t>2B(ii)</t>
  </si>
  <si>
    <t>2B(iii)</t>
  </si>
  <si>
    <t>2C</t>
  </si>
  <si>
    <t>2C(i)</t>
  </si>
  <si>
    <t>2C(ii)</t>
  </si>
  <si>
    <t>2D</t>
  </si>
  <si>
    <t>2D(i)</t>
  </si>
  <si>
    <t>2D(ii)</t>
  </si>
  <si>
    <t>2E</t>
  </si>
  <si>
    <t>2F</t>
  </si>
  <si>
    <t>3</t>
  </si>
  <si>
    <t>3(1A)</t>
  </si>
  <si>
    <t>3(i)</t>
  </si>
  <si>
    <t>3(ii)</t>
  </si>
  <si>
    <t>30</t>
  </si>
  <si>
    <t>30(i)</t>
  </si>
  <si>
    <t>30(ii)</t>
  </si>
  <si>
    <t>31</t>
  </si>
  <si>
    <t>32</t>
  </si>
  <si>
    <t>33</t>
  </si>
  <si>
    <t>34</t>
  </si>
  <si>
    <t>34(1)</t>
  </si>
  <si>
    <t>34(2)</t>
  </si>
  <si>
    <t>34(3)</t>
  </si>
  <si>
    <t>34(4)</t>
  </si>
  <si>
    <t>35</t>
  </si>
  <si>
    <t>36</t>
  </si>
  <si>
    <t>37</t>
  </si>
  <si>
    <t>38</t>
  </si>
  <si>
    <t>39</t>
  </si>
  <si>
    <t>4</t>
  </si>
  <si>
    <t>4(1)</t>
  </si>
  <si>
    <t>4(2)</t>
  </si>
  <si>
    <t>40</t>
  </si>
  <si>
    <t>41</t>
  </si>
  <si>
    <t>42</t>
  </si>
  <si>
    <t>43</t>
  </si>
  <si>
    <t>44</t>
  </si>
  <si>
    <t>45</t>
  </si>
  <si>
    <t>45(i)</t>
  </si>
  <si>
    <t>45(ii)</t>
  </si>
  <si>
    <t>45(iii)</t>
  </si>
  <si>
    <t>45(iv)</t>
  </si>
  <si>
    <t>45v</t>
  </si>
  <si>
    <t>45vi</t>
  </si>
  <si>
    <t>46</t>
  </si>
  <si>
    <t>47</t>
  </si>
  <si>
    <t>48</t>
  </si>
  <si>
    <t>49</t>
  </si>
  <si>
    <t>5</t>
  </si>
  <si>
    <t>5(i)</t>
  </si>
  <si>
    <t>5(ii)</t>
  </si>
  <si>
    <t>50</t>
  </si>
  <si>
    <t>51</t>
  </si>
  <si>
    <t>52</t>
  </si>
  <si>
    <t>52A</t>
  </si>
  <si>
    <t>53</t>
  </si>
  <si>
    <t>53(i)</t>
  </si>
  <si>
    <t>53(ii)</t>
  </si>
  <si>
    <t>53(iii)</t>
  </si>
  <si>
    <t>53(iv)</t>
  </si>
  <si>
    <t>53(ix)</t>
  </si>
  <si>
    <t>53(v)</t>
  </si>
  <si>
    <t>53(vi)</t>
  </si>
  <si>
    <t>53(vii)</t>
  </si>
  <si>
    <t>53(viii)</t>
  </si>
  <si>
    <t>53(x)</t>
  </si>
  <si>
    <t>53(xi)</t>
  </si>
  <si>
    <t>53(xii)</t>
  </si>
  <si>
    <t>53(xiii)</t>
  </si>
  <si>
    <t>53(xiv)</t>
  </si>
  <si>
    <t>53(xix)</t>
  </si>
  <si>
    <t>53(xv)</t>
  </si>
  <si>
    <t>53(xvi)</t>
  </si>
  <si>
    <t>53(xvii)</t>
  </si>
  <si>
    <t>53(xviii)</t>
  </si>
  <si>
    <t>54</t>
  </si>
  <si>
    <t>55</t>
  </si>
  <si>
    <t>56</t>
  </si>
  <si>
    <t>56(i)</t>
  </si>
  <si>
    <t>56(ii)</t>
  </si>
  <si>
    <t>57</t>
  </si>
  <si>
    <t>58</t>
  </si>
  <si>
    <t>59</t>
  </si>
  <si>
    <t>6</t>
  </si>
  <si>
    <t>6(A)</t>
  </si>
  <si>
    <t>6(A)(i)</t>
  </si>
  <si>
    <t>6(A)(ii)</t>
  </si>
  <si>
    <t>6(A)(iii)</t>
  </si>
  <si>
    <t>6(A)(iv)</t>
  </si>
  <si>
    <t>6(A)(ix)</t>
  </si>
  <si>
    <t>6(A)(v)</t>
  </si>
  <si>
    <t>6(A)(vi)</t>
  </si>
  <si>
    <t>6(A)(vii)</t>
  </si>
  <si>
    <t>6(A)(viii)</t>
  </si>
  <si>
    <t>6(A)(x)</t>
  </si>
  <si>
    <t>6(i)</t>
  </si>
  <si>
    <t>6(ii)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</si>
  <si>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</si>
  <si>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</si>
  <si>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</si>
  <si>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</si>
  <si>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</si>
  <si>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</si>
  <si>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</si>
  <si>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</si>
  <si>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</si>
  <si>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</si>
  <si>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</t>
  </si>
  <si>
    <t>7(i)</t>
  </si>
  <si>
    <t>7(ii)</t>
  </si>
  <si>
    <t>70</t>
  </si>
  <si>
    <t>70(i)</t>
  </si>
  <si>
    <t>70(ii)</t>
  </si>
  <si>
    <t>70(iii)</t>
  </si>
  <si>
    <t>70(iv)</t>
  </si>
  <si>
    <t>70(v)</t>
  </si>
  <si>
    <t>70(vi)</t>
  </si>
  <si>
    <t>71</t>
  </si>
  <si>
    <t>72</t>
  </si>
  <si>
    <t>73</t>
  </si>
  <si>
    <t>73(a)</t>
  </si>
  <si>
    <t>73(b)</t>
  </si>
  <si>
    <t>73A</t>
  </si>
  <si>
    <t>74</t>
  </si>
  <si>
    <t>75</t>
  </si>
  <si>
    <t>76</t>
  </si>
  <si>
    <t>77</t>
  </si>
  <si>
    <t>78</t>
  </si>
  <si>
    <t>79</t>
  </si>
  <si>
    <t>8</t>
  </si>
  <si>
    <t>8(1)</t>
  </si>
  <si>
    <t>8(2)</t>
  </si>
  <si>
    <t>8(3)</t>
  </si>
  <si>
    <t>8(4)</t>
  </si>
  <si>
    <t>8(5)</t>
  </si>
  <si>
    <t>8(i)</t>
  </si>
  <si>
    <t>8(i)(a)</t>
  </si>
  <si>
    <t>8(i)(b)</t>
  </si>
  <si>
    <t>8(i)(c)</t>
  </si>
  <si>
    <t>8(ii)</t>
  </si>
  <si>
    <t>80</t>
  </si>
  <si>
    <t>81</t>
  </si>
  <si>
    <t>82</t>
  </si>
  <si>
    <t>83</t>
  </si>
  <si>
    <t>84</t>
  </si>
  <si>
    <t>84(i)</t>
  </si>
  <si>
    <t>84(ii)</t>
  </si>
  <si>
    <t>84(iii)</t>
  </si>
  <si>
    <t>84(iv)</t>
  </si>
  <si>
    <t>84(v)</t>
  </si>
  <si>
    <t>84(vi)</t>
  </si>
  <si>
    <t>84(vii)</t>
  </si>
  <si>
    <t>85</t>
  </si>
  <si>
    <t>86</t>
  </si>
  <si>
    <t>87</t>
  </si>
  <si>
    <t>88</t>
  </si>
  <si>
    <t>89</t>
  </si>
  <si>
    <t>8A</t>
  </si>
  <si>
    <t>9</t>
  </si>
  <si>
    <t>9(i)</t>
  </si>
  <si>
    <t>9(ii)</t>
  </si>
  <si>
    <t>9(iii)</t>
  </si>
  <si>
    <t>9(iv)</t>
  </si>
  <si>
    <t>9(ix)</t>
  </si>
  <si>
    <t>9(v)</t>
  </si>
  <si>
    <t>9(vi)</t>
  </si>
  <si>
    <t>9(vii)</t>
  </si>
  <si>
    <t>9(viii)</t>
  </si>
  <si>
    <t>9(x)</t>
  </si>
  <si>
    <t>9(xi)</t>
  </si>
  <si>
    <t>9(xii)</t>
  </si>
  <si>
    <t>9(xiii)</t>
  </si>
  <si>
    <t>9(xiv)</t>
  </si>
  <si>
    <t>9(xix)</t>
  </si>
  <si>
    <t>9(xv)</t>
  </si>
  <si>
    <t>9(xvi)</t>
  </si>
  <si>
    <t>9(xvii)</t>
  </si>
  <si>
    <t>9(xviii)</t>
  </si>
  <si>
    <t>9(xx)</t>
  </si>
  <si>
    <t>9(xxi)</t>
  </si>
  <si>
    <t>9(xxii)</t>
  </si>
  <si>
    <t>9(xxiii)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</si>
  <si>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</si>
  <si>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</si>
  <si>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</si>
  <si>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</si>
  <si>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</si>
  <si>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</si>
  <si>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</si>
  <si>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</si>
  <si>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</si>
  <si>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</si>
  <si>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Region-I</t>
  </si>
  <si>
    <t>Region-II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</si>
</sst>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00FF"/>
      <name val="Calibri"/>
    </font>
    <font>
      <sz val="11"/>
      <color rgb="FF0000FF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Alignment="1">
      <alignment horizontal="left"/>
    </xf>
    <xf numFmtId="9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1" fillId="0" borderId="0" xfId="0" applyFont="1"/>
    <xf numFmtId="49" fontId="1" fillId="0" borderId="0" xfId="0" applyNumberFormat="1" applyFont="1" applyAlignment="1">
      <alignment horizontal="left"/>
    </xf>
    <xf numFmtId="9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right"/>
    </xf>
    <xf numFmtId="0" fontId="2" fillId="0" borderId="0" xfId="0" applyFont="1"/>
    <xf numFmtId="0" fontId="3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1063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14" customWidth="1"/>
    <col min="3" max="3" width="19" style="1" customWidth="1"/>
    <col min="4" max="4" width="24" style="1" customWidth="1"/>
    <col min="5" max="9" width="14" customWidth="1"/>
    <col min="10" max="10" width="16" customWidth="1"/>
    <col min="11" max="11" width="22" customWidth="1"/>
    <col min="12" max="12" width="15" customWidth="1"/>
    <col min="13" max="16" width="14" customWidth="1"/>
    <col min="17" max="17" width="16" style="1" customWidth="1"/>
    <col min="18" max="18" width="18" style="1" customWidth="1"/>
    <col min="19" max="19" width="14" style="1" customWidth="1"/>
    <col min="20" max="20" width="17" style="1" customWidth="1"/>
    <col min="21" max="22" width="14" style="1" customWidth="1"/>
    <col min="23" max="23" width="21" style="1" customWidth="1"/>
    <col min="24" max="24" width="14" customWidth="1"/>
    <col min="25" max="25" width="23" customWidth="1"/>
    <col min="26" max="26" width="27" customWidth="1"/>
    <col min="27" max="27" width="24" customWidth="1"/>
    <col min="28" max="29" width="14" customWidth="1"/>
    <col min="30" max="30" width="17" customWidth="1"/>
    <col min="31" max="31" width="14" style="2" customWidth="1"/>
    <col min="32" max="33" width="20" style="3" customWidth="1"/>
    <col min="34" max="34" width="14" customWidth="1"/>
    <col min="35" max="35" width="22" customWidth="1"/>
    <col min="36" max="36" width="23" customWidth="1"/>
    <col min="37" max="39" width="14" customWidth="1"/>
    <col min="40" max="40" width="20" customWidth="1"/>
    <col min="41" max="42" width="14" customWidth="1"/>
    <col min="43" max="49" width="9" hidden="1" customWidth="1"/>
  </cols>
  <sheetData>
    <row r="1" spans="1:49" s="4" customFormat="1" x14ac:dyDescent="0.3">
      <c r="A1" s="4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6" t="s">
        <v>30</v>
      </c>
      <c r="AF1" s="7" t="s">
        <v>31</v>
      </c>
      <c r="AG1" s="7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</row>
    <row r="2" spans="1:49" x14ac:dyDescent="0.3">
      <c r="G2" s="10"/>
      <c r="V2" s="1" t="str">
        <f t="shared" ref="V2:V33" si="0">IF($R2="","",TRIM(MID($R2,FIND(" - ",$R2)+3,LEN($R2))))</f>
        <v/>
      </c>
      <c r="X2" s="1"/>
      <c r="AF2" s="3" t="str">
        <f t="shared" ref="AF2:AF33" si="1">IF(AE2=18%,ROUND((Y2+AI2)*0.18,2),"")</f>
        <v/>
      </c>
      <c r="AG2" s="3" t="str">
        <f t="shared" ref="AG2:AG33" si="2">IF(AE2=25%,ROUND((Y2+AI2)*0.25,2),"")</f>
        <v/>
      </c>
      <c r="AH2" t="str">
        <f t="shared" ref="AH2:AH33" si="3">IF(OR($Y2="",$Z2=""),"",IFERROR($Y2/$Z2,0))</f>
        <v/>
      </c>
      <c r="AI2" t="str">
        <f t="shared" ref="AI2:AI33" si="4">IF($Y2="","",
IF($S2="","",
IF(ISNUMBER(SEARCH("exempt",LOWER($S2))),0,
$Y2*(VALUE(SUBSTITUTE($S2,"%",""))/100))))</f>
        <v/>
      </c>
      <c r="AP2" t="str">
        <f>IF($Y2="","",
SUM($Y2,$AI2,$AM2,$AJ2,$AL2,$AK2,$AN2,$AD2,$AF2,$AG2)-
IF($AO2="",0,VALUE($AO2)))</f>
        <v/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  <c r="AW2" t="s">
        <v>47</v>
      </c>
    </row>
    <row r="3" spans="1:49" x14ac:dyDescent="0.3">
      <c r="V3" s="1" t="str">
        <f t="shared" si="0"/>
        <v/>
      </c>
      <c r="AF3" s="3" t="str">
        <f t="shared" si="1"/>
        <v/>
      </c>
      <c r="AG3" s="3" t="str">
        <f t="shared" si="2"/>
        <v/>
      </c>
      <c r="AH3" t="str">
        <f t="shared" si="3"/>
        <v/>
      </c>
      <c r="AI3" t="str">
        <f t="shared" si="4"/>
        <v/>
      </c>
      <c r="AP3" t="str">
        <f t="shared" ref="AP3:AP66" si="5">IF($Y3="","",
SUM($Y3,$AI3,$AM3,$AJ3,$AL3,$AK3,$AN3,$AD3,$AF3,$AG3)-
IF($AO3="",0,VALUE($AO3)))</f>
        <v/>
      </c>
      <c r="AQ3" t="s">
        <v>48</v>
      </c>
      <c r="AR3" t="s">
        <v>49</v>
      </c>
      <c r="AS3" t="s">
        <v>50</v>
      </c>
      <c r="AT3" t="s">
        <v>51</v>
      </c>
      <c r="AU3" t="s">
        <v>52</v>
      </c>
      <c r="AV3" t="s">
        <v>53</v>
      </c>
      <c r="AW3" t="s">
        <v>54</v>
      </c>
    </row>
    <row r="4" spans="1:49" x14ac:dyDescent="0.3">
      <c r="V4" s="1" t="str">
        <f t="shared" si="0"/>
        <v/>
      </c>
      <c r="AF4" s="3" t="str">
        <f t="shared" si="1"/>
        <v/>
      </c>
      <c r="AG4" s="3" t="str">
        <f t="shared" si="2"/>
        <v/>
      </c>
      <c r="AH4" t="str">
        <f t="shared" si="3"/>
        <v/>
      </c>
      <c r="AI4" t="str">
        <f t="shared" si="4"/>
        <v/>
      </c>
      <c r="AP4" t="str">
        <f t="shared" si="5"/>
        <v/>
      </c>
      <c r="AR4" t="s">
        <v>55</v>
      </c>
      <c r="AS4" t="s">
        <v>56</v>
      </c>
      <c r="AT4" t="s">
        <v>57</v>
      </c>
      <c r="AU4" t="s">
        <v>58</v>
      </c>
      <c r="AV4" t="s">
        <v>59</v>
      </c>
      <c r="AW4" t="s">
        <v>60</v>
      </c>
    </row>
    <row r="5" spans="1:49" x14ac:dyDescent="0.3">
      <c r="V5" s="1" t="str">
        <f t="shared" si="0"/>
        <v/>
      </c>
      <c r="AF5" s="3" t="str">
        <f t="shared" si="1"/>
        <v/>
      </c>
      <c r="AG5" s="3" t="str">
        <f t="shared" si="2"/>
        <v/>
      </c>
      <c r="AH5" t="str">
        <f t="shared" si="3"/>
        <v/>
      </c>
      <c r="AI5" t="str">
        <f t="shared" si="4"/>
        <v/>
      </c>
      <c r="AP5" t="str">
        <f t="shared" si="5"/>
        <v/>
      </c>
      <c r="AR5" t="s">
        <v>61</v>
      </c>
      <c r="AS5" t="s">
        <v>62</v>
      </c>
      <c r="AT5" t="s">
        <v>63</v>
      </c>
      <c r="AU5" t="s">
        <v>64</v>
      </c>
      <c r="AV5" t="s">
        <v>65</v>
      </c>
      <c r="AW5" t="s">
        <v>66</v>
      </c>
    </row>
    <row r="6" spans="1:49" x14ac:dyDescent="0.3">
      <c r="V6" s="1" t="str">
        <f t="shared" si="0"/>
        <v/>
      </c>
      <c r="AF6" s="3" t="str">
        <f t="shared" si="1"/>
        <v/>
      </c>
      <c r="AG6" s="3" t="str">
        <f t="shared" si="2"/>
        <v/>
      </c>
      <c r="AH6" t="str">
        <f t="shared" si="3"/>
        <v/>
      </c>
      <c r="AI6" t="str">
        <f t="shared" si="4"/>
        <v/>
      </c>
      <c r="AP6" t="str">
        <f t="shared" si="5"/>
        <v/>
      </c>
      <c r="AR6" t="s">
        <v>67</v>
      </c>
      <c r="AS6" t="s">
        <v>68</v>
      </c>
      <c r="AT6" t="s">
        <v>69</v>
      </c>
      <c r="AU6" t="s">
        <v>70</v>
      </c>
      <c r="AV6" t="s">
        <v>71</v>
      </c>
      <c r="AW6" t="s">
        <v>72</v>
      </c>
    </row>
    <row r="7" spans="1:49" x14ac:dyDescent="0.3">
      <c r="V7" s="1" t="str">
        <f t="shared" si="0"/>
        <v/>
      </c>
      <c r="AF7" s="3" t="str">
        <f t="shared" si="1"/>
        <v/>
      </c>
      <c r="AG7" s="3" t="str">
        <f t="shared" si="2"/>
        <v/>
      </c>
      <c r="AH7" t="str">
        <f t="shared" si="3"/>
        <v/>
      </c>
      <c r="AI7" t="str">
        <f t="shared" si="4"/>
        <v/>
      </c>
      <c r="AP7" t="str">
        <f t="shared" si="5"/>
        <v/>
      </c>
      <c r="AR7" t="s">
        <v>73</v>
      </c>
      <c r="AS7" t="s">
        <v>74</v>
      </c>
      <c r="AT7" t="s">
        <v>75</v>
      </c>
      <c r="AU7" t="s">
        <v>76</v>
      </c>
      <c r="AV7" t="s">
        <v>77</v>
      </c>
      <c r="AW7" t="s">
        <v>78</v>
      </c>
    </row>
    <row r="8" spans="1:49" x14ac:dyDescent="0.3">
      <c r="V8" s="1" t="str">
        <f t="shared" si="0"/>
        <v/>
      </c>
      <c r="AF8" s="3" t="str">
        <f t="shared" si="1"/>
        <v/>
      </c>
      <c r="AG8" s="3" t="str">
        <f t="shared" si="2"/>
        <v/>
      </c>
      <c r="AH8" t="str">
        <f t="shared" si="3"/>
        <v/>
      </c>
      <c r="AI8" t="str">
        <f t="shared" si="4"/>
        <v/>
      </c>
      <c r="AP8" t="str">
        <f t="shared" si="5"/>
        <v/>
      </c>
      <c r="AR8" t="s">
        <v>79</v>
      </c>
      <c r="AS8" t="s">
        <v>80</v>
      </c>
      <c r="AT8" t="s">
        <v>81</v>
      </c>
      <c r="AU8" t="s">
        <v>82</v>
      </c>
      <c r="AV8" t="s">
        <v>83</v>
      </c>
      <c r="AW8" t="s">
        <v>84</v>
      </c>
    </row>
    <row r="9" spans="1:49" x14ac:dyDescent="0.3">
      <c r="V9" s="1" t="str">
        <f t="shared" si="0"/>
        <v/>
      </c>
      <c r="AF9" s="3" t="str">
        <f t="shared" si="1"/>
        <v/>
      </c>
      <c r="AG9" s="3" t="str">
        <f t="shared" si="2"/>
        <v/>
      </c>
      <c r="AH9" t="str">
        <f t="shared" si="3"/>
        <v/>
      </c>
      <c r="AI9" t="str">
        <f t="shared" si="4"/>
        <v/>
      </c>
      <c r="AP9" t="str">
        <f t="shared" si="5"/>
        <v/>
      </c>
      <c r="AS9" t="s">
        <v>85</v>
      </c>
      <c r="AT9" t="s">
        <v>86</v>
      </c>
      <c r="AU9" t="s">
        <v>87</v>
      </c>
      <c r="AV9" t="s">
        <v>88</v>
      </c>
      <c r="AW9" t="s">
        <v>89</v>
      </c>
    </row>
    <row r="10" spans="1:49" x14ac:dyDescent="0.3">
      <c r="V10" s="1" t="str">
        <f t="shared" si="0"/>
        <v/>
      </c>
      <c r="AF10" s="3" t="str">
        <f t="shared" si="1"/>
        <v/>
      </c>
      <c r="AG10" s="3" t="str">
        <f t="shared" si="2"/>
        <v/>
      </c>
      <c r="AH10" t="str">
        <f t="shared" si="3"/>
        <v/>
      </c>
      <c r="AI10" t="str">
        <f t="shared" si="4"/>
        <v/>
      </c>
      <c r="AP10" t="str">
        <f t="shared" si="5"/>
        <v/>
      </c>
      <c r="AS10" t="s">
        <v>90</v>
      </c>
      <c r="AT10" t="s">
        <v>91</v>
      </c>
      <c r="AU10" t="s">
        <v>92</v>
      </c>
      <c r="AV10" t="s">
        <v>93</v>
      </c>
      <c r="AW10" t="s">
        <v>94</v>
      </c>
    </row>
    <row r="11" spans="1:49" x14ac:dyDescent="0.3">
      <c r="V11" s="1" t="str">
        <f t="shared" si="0"/>
        <v/>
      </c>
      <c r="AF11" s="3" t="str">
        <f t="shared" si="1"/>
        <v/>
      </c>
      <c r="AG11" s="3" t="str">
        <f t="shared" si="2"/>
        <v/>
      </c>
      <c r="AH11" t="str">
        <f t="shared" si="3"/>
        <v/>
      </c>
      <c r="AI11" t="str">
        <f t="shared" si="4"/>
        <v/>
      </c>
      <c r="AP11" t="str">
        <f t="shared" si="5"/>
        <v/>
      </c>
      <c r="AS11" t="s">
        <v>95</v>
      </c>
      <c r="AT11" t="s">
        <v>96</v>
      </c>
      <c r="AU11" t="s">
        <v>97</v>
      </c>
      <c r="AV11" t="s">
        <v>98</v>
      </c>
      <c r="AW11" t="s">
        <v>99</v>
      </c>
    </row>
    <row r="12" spans="1:49" x14ac:dyDescent="0.3">
      <c r="V12" s="1" t="str">
        <f t="shared" si="0"/>
        <v/>
      </c>
      <c r="AF12" s="3" t="str">
        <f t="shared" si="1"/>
        <v/>
      </c>
      <c r="AG12" s="3" t="str">
        <f t="shared" si="2"/>
        <v/>
      </c>
      <c r="AH12" t="str">
        <f t="shared" si="3"/>
        <v/>
      </c>
      <c r="AI12" t="str">
        <f t="shared" si="4"/>
        <v/>
      </c>
      <c r="AP12" t="str">
        <f t="shared" si="5"/>
        <v/>
      </c>
      <c r="AS12" t="s">
        <v>100</v>
      </c>
      <c r="AT12" t="s">
        <v>101</v>
      </c>
      <c r="AU12" t="s">
        <v>102</v>
      </c>
      <c r="AV12" t="s">
        <v>103</v>
      </c>
      <c r="AW12" t="s">
        <v>104</v>
      </c>
    </row>
    <row r="13" spans="1:49" x14ac:dyDescent="0.3">
      <c r="V13" s="1" t="str">
        <f t="shared" si="0"/>
        <v/>
      </c>
      <c r="AF13" s="3" t="str">
        <f t="shared" si="1"/>
        <v/>
      </c>
      <c r="AG13" s="3" t="str">
        <f t="shared" si="2"/>
        <v/>
      </c>
      <c r="AH13" t="str">
        <f t="shared" si="3"/>
        <v/>
      </c>
      <c r="AI13" t="str">
        <f t="shared" si="4"/>
        <v/>
      </c>
      <c r="AP13" t="str">
        <f t="shared" si="5"/>
        <v/>
      </c>
      <c r="AS13" t="s">
        <v>105</v>
      </c>
      <c r="AT13" t="s">
        <v>106</v>
      </c>
      <c r="AU13" t="s">
        <v>107</v>
      </c>
      <c r="AV13" t="s">
        <v>108</v>
      </c>
      <c r="AW13" t="s">
        <v>109</v>
      </c>
    </row>
    <row r="14" spans="1:49" x14ac:dyDescent="0.3">
      <c r="V14" s="1" t="str">
        <f t="shared" si="0"/>
        <v/>
      </c>
      <c r="AF14" s="3" t="str">
        <f t="shared" si="1"/>
        <v/>
      </c>
      <c r="AG14" s="3" t="str">
        <f t="shared" si="2"/>
        <v/>
      </c>
      <c r="AH14" t="str">
        <f t="shared" si="3"/>
        <v/>
      </c>
      <c r="AI14" t="str">
        <f t="shared" si="4"/>
        <v/>
      </c>
      <c r="AP14" t="str">
        <f t="shared" si="5"/>
        <v/>
      </c>
      <c r="AS14" t="s">
        <v>110</v>
      </c>
      <c r="AT14" t="s">
        <v>111</v>
      </c>
      <c r="AU14" t="s">
        <v>112</v>
      </c>
      <c r="AV14" t="s">
        <v>113</v>
      </c>
      <c r="AW14" t="s">
        <v>114</v>
      </c>
    </row>
    <row r="15" spans="1:49" x14ac:dyDescent="0.3">
      <c r="V15" s="1" t="str">
        <f t="shared" si="0"/>
        <v/>
      </c>
      <c r="AF15" s="3" t="str">
        <f t="shared" si="1"/>
        <v/>
      </c>
      <c r="AG15" s="3" t="str">
        <f t="shared" si="2"/>
        <v/>
      </c>
      <c r="AH15" t="str">
        <f t="shared" si="3"/>
        <v/>
      </c>
      <c r="AI15" t="str">
        <f t="shared" si="4"/>
        <v/>
      </c>
      <c r="AP15" t="str">
        <f t="shared" si="5"/>
        <v/>
      </c>
      <c r="AS15" t="s">
        <v>115</v>
      </c>
      <c r="AT15" t="s">
        <v>116</v>
      </c>
      <c r="AU15" t="s">
        <v>117</v>
      </c>
      <c r="AV15" t="s">
        <v>118</v>
      </c>
      <c r="AW15" t="s">
        <v>119</v>
      </c>
    </row>
    <row r="16" spans="1:49" x14ac:dyDescent="0.3">
      <c r="V16" s="1" t="str">
        <f t="shared" si="0"/>
        <v/>
      </c>
      <c r="AF16" s="3" t="str">
        <f t="shared" si="1"/>
        <v/>
      </c>
      <c r="AG16" s="3" t="str">
        <f t="shared" si="2"/>
        <v/>
      </c>
      <c r="AH16" t="str">
        <f t="shared" si="3"/>
        <v/>
      </c>
      <c r="AI16" t="str">
        <f t="shared" si="4"/>
        <v/>
      </c>
      <c r="AP16" t="str">
        <f t="shared" si="5"/>
        <v/>
      </c>
      <c r="AS16" t="s">
        <v>120</v>
      </c>
      <c r="AT16" t="s">
        <v>121</v>
      </c>
      <c r="AU16" t="s">
        <v>122</v>
      </c>
      <c r="AV16" t="s">
        <v>123</v>
      </c>
      <c r="AW16" t="s">
        <v>124</v>
      </c>
    </row>
    <row r="17" spans="22:49" x14ac:dyDescent="0.3">
      <c r="V17" s="1" t="str">
        <f t="shared" si="0"/>
        <v/>
      </c>
      <c r="AF17" s="3" t="str">
        <f t="shared" si="1"/>
        <v/>
      </c>
      <c r="AG17" s="3" t="str">
        <f t="shared" si="2"/>
        <v/>
      </c>
      <c r="AH17" t="str">
        <f t="shared" si="3"/>
        <v/>
      </c>
      <c r="AI17" t="str">
        <f t="shared" si="4"/>
        <v/>
      </c>
      <c r="AP17" t="str">
        <f t="shared" si="5"/>
        <v/>
      </c>
      <c r="AS17" t="s">
        <v>125</v>
      </c>
      <c r="AT17" t="s">
        <v>126</v>
      </c>
      <c r="AU17" t="s">
        <v>127</v>
      </c>
      <c r="AV17" t="s">
        <v>128</v>
      </c>
      <c r="AW17" t="s">
        <v>129</v>
      </c>
    </row>
    <row r="18" spans="22:49" x14ac:dyDescent="0.3">
      <c r="V18" s="1" t="str">
        <f t="shared" si="0"/>
        <v/>
      </c>
      <c r="AF18" s="3" t="str">
        <f t="shared" si="1"/>
        <v/>
      </c>
      <c r="AG18" s="3" t="str">
        <f t="shared" si="2"/>
        <v/>
      </c>
      <c r="AH18" t="str">
        <f t="shared" si="3"/>
        <v/>
      </c>
      <c r="AI18" t="str">
        <f t="shared" si="4"/>
        <v/>
      </c>
      <c r="AP18" t="str">
        <f t="shared" si="5"/>
        <v/>
      </c>
      <c r="AS18" t="s">
        <v>130</v>
      </c>
      <c r="AT18" t="s">
        <v>131</v>
      </c>
      <c r="AU18" t="s">
        <v>132</v>
      </c>
      <c r="AV18" t="s">
        <v>133</v>
      </c>
      <c r="AW18" t="s">
        <v>134</v>
      </c>
    </row>
    <row r="19" spans="22:49" x14ac:dyDescent="0.3">
      <c r="V19" s="1" t="str">
        <f t="shared" si="0"/>
        <v/>
      </c>
      <c r="AF19" s="3" t="str">
        <f t="shared" si="1"/>
        <v/>
      </c>
      <c r="AG19" s="3" t="str">
        <f t="shared" si="2"/>
        <v/>
      </c>
      <c r="AH19" t="str">
        <f t="shared" si="3"/>
        <v/>
      </c>
      <c r="AI19" t="str">
        <f t="shared" si="4"/>
        <v/>
      </c>
      <c r="AP19" t="str">
        <f t="shared" si="5"/>
        <v/>
      </c>
      <c r="AS19" t="s">
        <v>135</v>
      </c>
      <c r="AT19" t="s">
        <v>136</v>
      </c>
      <c r="AU19" t="s">
        <v>137</v>
      </c>
      <c r="AV19" t="s">
        <v>138</v>
      </c>
      <c r="AW19" t="s">
        <v>139</v>
      </c>
    </row>
    <row r="20" spans="22:49" x14ac:dyDescent="0.3">
      <c r="V20" s="1" t="str">
        <f t="shared" si="0"/>
        <v/>
      </c>
      <c r="AF20" s="3" t="str">
        <f t="shared" si="1"/>
        <v/>
      </c>
      <c r="AG20" s="3" t="str">
        <f t="shared" si="2"/>
        <v/>
      </c>
      <c r="AH20" t="str">
        <f t="shared" si="3"/>
        <v/>
      </c>
      <c r="AI20" t="str">
        <f t="shared" si="4"/>
        <v/>
      </c>
      <c r="AP20" t="str">
        <f t="shared" si="5"/>
        <v/>
      </c>
      <c r="AS20" t="s">
        <v>140</v>
      </c>
      <c r="AT20" t="s">
        <v>141</v>
      </c>
      <c r="AU20" t="s">
        <v>142</v>
      </c>
      <c r="AV20" t="s">
        <v>143</v>
      </c>
      <c r="AW20" t="s">
        <v>144</v>
      </c>
    </row>
    <row r="21" spans="22:49" x14ac:dyDescent="0.3">
      <c r="V21" s="1" t="str">
        <f t="shared" si="0"/>
        <v/>
      </c>
      <c r="AF21" s="3" t="str">
        <f t="shared" si="1"/>
        <v/>
      </c>
      <c r="AG21" s="3" t="str">
        <f t="shared" si="2"/>
        <v/>
      </c>
      <c r="AH21" t="str">
        <f t="shared" si="3"/>
        <v/>
      </c>
      <c r="AI21" t="str">
        <f t="shared" si="4"/>
        <v/>
      </c>
      <c r="AP21" t="str">
        <f t="shared" si="5"/>
        <v/>
      </c>
      <c r="AS21" t="s">
        <v>145</v>
      </c>
      <c r="AT21" t="s">
        <v>146</v>
      </c>
      <c r="AU21" t="s">
        <v>147</v>
      </c>
      <c r="AV21" t="s">
        <v>148</v>
      </c>
      <c r="AW21" t="s">
        <v>149</v>
      </c>
    </row>
    <row r="22" spans="22:49" x14ac:dyDescent="0.3">
      <c r="V22" s="1" t="str">
        <f t="shared" si="0"/>
        <v/>
      </c>
      <c r="AF22" s="3" t="str">
        <f t="shared" si="1"/>
        <v/>
      </c>
      <c r="AG22" s="3" t="str">
        <f t="shared" si="2"/>
        <v/>
      </c>
      <c r="AH22" t="str">
        <f t="shared" si="3"/>
        <v/>
      </c>
      <c r="AI22" t="str">
        <f t="shared" si="4"/>
        <v/>
      </c>
      <c r="AP22" t="str">
        <f t="shared" si="5"/>
        <v/>
      </c>
      <c r="AS22" t="s">
        <v>150</v>
      </c>
      <c r="AT22" t="s">
        <v>151</v>
      </c>
      <c r="AU22" t="s">
        <v>152</v>
      </c>
      <c r="AV22" t="s">
        <v>153</v>
      </c>
      <c r="AW22" t="s">
        <v>154</v>
      </c>
    </row>
    <row r="23" spans="22:49" x14ac:dyDescent="0.3">
      <c r="V23" s="1" t="str">
        <f t="shared" si="0"/>
        <v/>
      </c>
      <c r="AF23" s="3" t="str">
        <f t="shared" si="1"/>
        <v/>
      </c>
      <c r="AG23" s="3" t="str">
        <f t="shared" si="2"/>
        <v/>
      </c>
      <c r="AH23" t="str">
        <f t="shared" si="3"/>
        <v/>
      </c>
      <c r="AI23" t="str">
        <f t="shared" si="4"/>
        <v/>
      </c>
      <c r="AP23" t="str">
        <f t="shared" si="5"/>
        <v/>
      </c>
      <c r="AS23" t="s">
        <v>155</v>
      </c>
      <c r="AT23" t="s">
        <v>156</v>
      </c>
      <c r="AU23" t="s">
        <v>157</v>
      </c>
      <c r="AV23" t="s">
        <v>158</v>
      </c>
      <c r="AW23" t="s">
        <v>159</v>
      </c>
    </row>
    <row r="24" spans="22:49" x14ac:dyDescent="0.3">
      <c r="V24" s="1" t="str">
        <f t="shared" si="0"/>
        <v/>
      </c>
      <c r="AF24" s="3" t="str">
        <f t="shared" si="1"/>
        <v/>
      </c>
      <c r="AG24" s="3" t="str">
        <f t="shared" si="2"/>
        <v/>
      </c>
      <c r="AH24" t="str">
        <f t="shared" si="3"/>
        <v/>
      </c>
      <c r="AI24" t="str">
        <f t="shared" si="4"/>
        <v/>
      </c>
      <c r="AP24" t="str">
        <f t="shared" si="5"/>
        <v/>
      </c>
      <c r="AS24" t="s">
        <v>160</v>
      </c>
      <c r="AT24" t="s">
        <v>161</v>
      </c>
      <c r="AU24" t="s">
        <v>162</v>
      </c>
      <c r="AV24" t="s">
        <v>163</v>
      </c>
      <c r="AW24" t="s">
        <v>164</v>
      </c>
    </row>
    <row r="25" spans="22:49" x14ac:dyDescent="0.3">
      <c r="V25" s="1" t="str">
        <f t="shared" si="0"/>
        <v/>
      </c>
      <c r="AF25" s="3" t="str">
        <f t="shared" si="1"/>
        <v/>
      </c>
      <c r="AG25" s="3" t="str">
        <f t="shared" si="2"/>
        <v/>
      </c>
      <c r="AH25" t="str">
        <f t="shared" si="3"/>
        <v/>
      </c>
      <c r="AI25" t="str">
        <f t="shared" si="4"/>
        <v/>
      </c>
      <c r="AP25" t="str">
        <f t="shared" si="5"/>
        <v/>
      </c>
      <c r="AS25" t="s">
        <v>165</v>
      </c>
      <c r="AT25" t="s">
        <v>166</v>
      </c>
      <c r="AU25" t="s">
        <v>167</v>
      </c>
      <c r="AV25" t="s">
        <v>168</v>
      </c>
      <c r="AW25" t="s">
        <v>169</v>
      </c>
    </row>
    <row r="26" spans="22:49" x14ac:dyDescent="0.3">
      <c r="V26" s="1" t="str">
        <f t="shared" si="0"/>
        <v/>
      </c>
      <c r="AF26" s="3" t="str">
        <f t="shared" si="1"/>
        <v/>
      </c>
      <c r="AG26" s="3" t="str">
        <f t="shared" si="2"/>
        <v/>
      </c>
      <c r="AH26" t="str">
        <f t="shared" si="3"/>
        <v/>
      </c>
      <c r="AI26" t="str">
        <f t="shared" si="4"/>
        <v/>
      </c>
      <c r="AP26" t="str">
        <f t="shared" si="5"/>
        <v/>
      </c>
      <c r="AS26" t="s">
        <v>170</v>
      </c>
      <c r="AT26" t="s">
        <v>171</v>
      </c>
      <c r="AU26" t="s">
        <v>172</v>
      </c>
      <c r="AV26" t="s">
        <v>173</v>
      </c>
      <c r="AW26" t="s">
        <v>174</v>
      </c>
    </row>
    <row r="27" spans="22:49" x14ac:dyDescent="0.3">
      <c r="V27" s="1" t="str">
        <f t="shared" si="0"/>
        <v/>
      </c>
      <c r="AF27" s="3" t="str">
        <f t="shared" si="1"/>
        <v/>
      </c>
      <c r="AG27" s="3" t="str">
        <f t="shared" si="2"/>
        <v/>
      </c>
      <c r="AH27" t="str">
        <f t="shared" si="3"/>
        <v/>
      </c>
      <c r="AI27" t="str">
        <f t="shared" si="4"/>
        <v/>
      </c>
      <c r="AP27" t="str">
        <f t="shared" si="5"/>
        <v/>
      </c>
      <c r="AS27" t="s">
        <v>175</v>
      </c>
      <c r="AT27" t="s">
        <v>176</v>
      </c>
      <c r="AU27" t="s">
        <v>177</v>
      </c>
      <c r="AW27" t="s">
        <v>178</v>
      </c>
    </row>
    <row r="28" spans="22:49" x14ac:dyDescent="0.3">
      <c r="V28" s="1" t="str">
        <f t="shared" si="0"/>
        <v/>
      </c>
      <c r="AF28" s="3" t="str">
        <f t="shared" si="1"/>
        <v/>
      </c>
      <c r="AG28" s="3" t="str">
        <f t="shared" si="2"/>
        <v/>
      </c>
      <c r="AH28" t="str">
        <f t="shared" si="3"/>
        <v/>
      </c>
      <c r="AI28" t="str">
        <f t="shared" si="4"/>
        <v/>
      </c>
      <c r="AP28" t="str">
        <f t="shared" si="5"/>
        <v/>
      </c>
      <c r="AT28" t="s">
        <v>179</v>
      </c>
      <c r="AU28" t="s">
        <v>180</v>
      </c>
      <c r="AW28" t="s">
        <v>181</v>
      </c>
    </row>
    <row r="29" spans="22:49" x14ac:dyDescent="0.3">
      <c r="V29" s="1" t="str">
        <f t="shared" si="0"/>
        <v/>
      </c>
      <c r="AF29" s="3" t="str">
        <f t="shared" si="1"/>
        <v/>
      </c>
      <c r="AG29" s="3" t="str">
        <f t="shared" si="2"/>
        <v/>
      </c>
      <c r="AH29" t="str">
        <f t="shared" si="3"/>
        <v/>
      </c>
      <c r="AI29" t="str">
        <f t="shared" si="4"/>
        <v/>
      </c>
      <c r="AP29" t="str">
        <f t="shared" si="5"/>
        <v/>
      </c>
      <c r="AT29" t="s">
        <v>182</v>
      </c>
      <c r="AU29" t="s">
        <v>183</v>
      </c>
      <c r="AW29" t="s">
        <v>184</v>
      </c>
    </row>
    <row r="30" spans="22:49" x14ac:dyDescent="0.3">
      <c r="V30" s="1" t="str">
        <f t="shared" si="0"/>
        <v/>
      </c>
      <c r="AF30" s="3" t="str">
        <f t="shared" si="1"/>
        <v/>
      </c>
      <c r="AG30" s="3" t="str">
        <f t="shared" si="2"/>
        <v/>
      </c>
      <c r="AH30" t="str">
        <f t="shared" si="3"/>
        <v/>
      </c>
      <c r="AI30" t="str">
        <f t="shared" si="4"/>
        <v/>
      </c>
      <c r="AP30" t="str">
        <f t="shared" si="5"/>
        <v/>
      </c>
      <c r="AT30" t="s">
        <v>185</v>
      </c>
      <c r="AU30" t="s">
        <v>186</v>
      </c>
      <c r="AW30" t="s">
        <v>187</v>
      </c>
    </row>
    <row r="31" spans="22:49" x14ac:dyDescent="0.3">
      <c r="V31" s="1" t="str">
        <f t="shared" si="0"/>
        <v/>
      </c>
      <c r="AF31" s="3" t="str">
        <f t="shared" si="1"/>
        <v/>
      </c>
      <c r="AG31" s="3" t="str">
        <f t="shared" si="2"/>
        <v/>
      </c>
      <c r="AH31" t="str">
        <f t="shared" si="3"/>
        <v/>
      </c>
      <c r="AI31" t="str">
        <f t="shared" si="4"/>
        <v/>
      </c>
      <c r="AP31" t="str">
        <f t="shared" si="5"/>
        <v/>
      </c>
      <c r="AT31" t="s">
        <v>188</v>
      </c>
      <c r="AU31" t="s">
        <v>189</v>
      </c>
      <c r="AW31" t="s">
        <v>190</v>
      </c>
    </row>
    <row r="32" spans="22:49" x14ac:dyDescent="0.3">
      <c r="V32" s="1" t="str">
        <f t="shared" si="0"/>
        <v/>
      </c>
      <c r="AF32" s="3" t="str">
        <f t="shared" si="1"/>
        <v/>
      </c>
      <c r="AG32" s="3" t="str">
        <f t="shared" si="2"/>
        <v/>
      </c>
      <c r="AH32" t="str">
        <f t="shared" si="3"/>
        <v/>
      </c>
      <c r="AI32" t="str">
        <f t="shared" si="4"/>
        <v/>
      </c>
      <c r="AP32" t="str">
        <f t="shared" si="5"/>
        <v/>
      </c>
      <c r="AT32" t="s">
        <v>191</v>
      </c>
      <c r="AU32" t="s">
        <v>192</v>
      </c>
      <c r="AW32" t="s">
        <v>193</v>
      </c>
    </row>
    <row r="33" spans="22:49" x14ac:dyDescent="0.3">
      <c r="V33" s="1" t="str">
        <f t="shared" si="0"/>
        <v/>
      </c>
      <c r="AF33" s="3" t="str">
        <f t="shared" si="1"/>
        <v/>
      </c>
      <c r="AG33" s="3" t="str">
        <f t="shared" si="2"/>
        <v/>
      </c>
      <c r="AH33" t="str">
        <f t="shared" si="3"/>
        <v/>
      </c>
      <c r="AI33" t="str">
        <f t="shared" si="4"/>
        <v/>
      </c>
      <c r="AP33" t="str">
        <f t="shared" si="5"/>
        <v/>
      </c>
      <c r="AT33" t="s">
        <v>194</v>
      </c>
      <c r="AU33" t="s">
        <v>195</v>
      </c>
      <c r="AW33" t="s">
        <v>196</v>
      </c>
    </row>
    <row r="34" spans="22:49" x14ac:dyDescent="0.3">
      <c r="V34" s="1" t="str">
        <f t="shared" ref="V34:V65" si="6">IF($R34="","",TRIM(MID($R34,FIND(" - ",$R34)+3,LEN($R34))))</f>
        <v/>
      </c>
      <c r="AF34" s="3" t="str">
        <f t="shared" ref="AF34:AF65" si="7">IF(AE34=18%,ROUND((Y34+AI34)*0.18,2),"")</f>
        <v/>
      </c>
      <c r="AG34" s="3" t="str">
        <f t="shared" ref="AG34:AG65" si="8">IF(AE34=25%,ROUND((Y34+AI34)*0.25,2),"")</f>
        <v/>
      </c>
      <c r="AH34" t="str">
        <f t="shared" ref="AH34:AH65" si="9">IF(OR($Y34="",$Z34=""),"",IFERROR($Y34/$Z34,0))</f>
        <v/>
      </c>
      <c r="AI34" t="str">
        <f t="shared" ref="AI34:AI65" si="10">IF($Y34="","",
IF($S34="","",
IF(ISNUMBER(SEARCH("exempt",LOWER($S34))),0,
$Y34*(VALUE(SUBSTITUTE($S34,"%",""))/100))))</f>
        <v/>
      </c>
      <c r="AP34" t="str">
        <f t="shared" si="5"/>
        <v/>
      </c>
      <c r="AU34" t="s">
        <v>197</v>
      </c>
      <c r="AW34" t="s">
        <v>198</v>
      </c>
    </row>
    <row r="35" spans="22:49" x14ac:dyDescent="0.3">
      <c r="V35" s="1" t="str">
        <f t="shared" si="6"/>
        <v/>
      </c>
      <c r="AF35" s="3" t="str">
        <f t="shared" si="7"/>
        <v/>
      </c>
      <c r="AG35" s="3" t="str">
        <f t="shared" si="8"/>
        <v/>
      </c>
      <c r="AH35" t="str">
        <f t="shared" si="9"/>
        <v/>
      </c>
      <c r="AI35" t="str">
        <f t="shared" si="10"/>
        <v/>
      </c>
      <c r="AP35" t="str">
        <f t="shared" si="5"/>
        <v/>
      </c>
      <c r="AU35" t="s">
        <v>199</v>
      </c>
      <c r="AW35" t="s">
        <v>200</v>
      </c>
    </row>
    <row r="36" spans="22:49" x14ac:dyDescent="0.3">
      <c r="V36" s="1" t="str">
        <f t="shared" si="6"/>
        <v/>
      </c>
      <c r="AF36" s="3" t="str">
        <f t="shared" si="7"/>
        <v/>
      </c>
      <c r="AG36" s="3" t="str">
        <f t="shared" si="8"/>
        <v/>
      </c>
      <c r="AH36" t="str">
        <f t="shared" si="9"/>
        <v/>
      </c>
      <c r="AI36" t="str">
        <f t="shared" si="10"/>
        <v/>
      </c>
      <c r="AP36" t="str">
        <f t="shared" si="5"/>
        <v/>
      </c>
      <c r="AU36" t="s">
        <v>201</v>
      </c>
      <c r="AW36" t="s">
        <v>202</v>
      </c>
    </row>
    <row r="37" spans="22:49" x14ac:dyDescent="0.3">
      <c r="V37" s="1" t="str">
        <f t="shared" si="6"/>
        <v/>
      </c>
      <c r="AF37" s="3" t="str">
        <f t="shared" si="7"/>
        <v/>
      </c>
      <c r="AG37" s="3" t="str">
        <f t="shared" si="8"/>
        <v/>
      </c>
      <c r="AH37" t="str">
        <f t="shared" si="9"/>
        <v/>
      </c>
      <c r="AI37" t="str">
        <f t="shared" si="10"/>
        <v/>
      </c>
      <c r="AP37" t="str">
        <f t="shared" si="5"/>
        <v/>
      </c>
      <c r="AU37" t="s">
        <v>203</v>
      </c>
      <c r="AW37" t="s">
        <v>204</v>
      </c>
    </row>
    <row r="38" spans="22:49" x14ac:dyDescent="0.3">
      <c r="V38" s="1" t="str">
        <f t="shared" si="6"/>
        <v/>
      </c>
      <c r="AF38" s="3" t="str">
        <f t="shared" si="7"/>
        <v/>
      </c>
      <c r="AG38" s="3" t="str">
        <f t="shared" si="8"/>
        <v/>
      </c>
      <c r="AH38" t="str">
        <f t="shared" si="9"/>
        <v/>
      </c>
      <c r="AI38" t="str">
        <f t="shared" si="10"/>
        <v/>
      </c>
      <c r="AP38" t="str">
        <f t="shared" si="5"/>
        <v/>
      </c>
      <c r="AU38" t="s">
        <v>205</v>
      </c>
      <c r="AW38" t="s">
        <v>206</v>
      </c>
    </row>
    <row r="39" spans="22:49" x14ac:dyDescent="0.3">
      <c r="V39" s="1" t="str">
        <f t="shared" si="6"/>
        <v/>
      </c>
      <c r="AF39" s="3" t="str">
        <f t="shared" si="7"/>
        <v/>
      </c>
      <c r="AG39" s="3" t="str">
        <f t="shared" si="8"/>
        <v/>
      </c>
      <c r="AH39" t="str">
        <f t="shared" si="9"/>
        <v/>
      </c>
      <c r="AI39" t="str">
        <f t="shared" si="10"/>
        <v/>
      </c>
      <c r="AP39" t="str">
        <f t="shared" si="5"/>
        <v/>
      </c>
      <c r="AU39" t="s">
        <v>207</v>
      </c>
      <c r="AW39" t="s">
        <v>208</v>
      </c>
    </row>
    <row r="40" spans="22:49" x14ac:dyDescent="0.3">
      <c r="V40" s="1" t="str">
        <f t="shared" si="6"/>
        <v/>
      </c>
      <c r="AF40" s="3" t="str">
        <f t="shared" si="7"/>
        <v/>
      </c>
      <c r="AG40" s="3" t="str">
        <f t="shared" si="8"/>
        <v/>
      </c>
      <c r="AH40" t="str">
        <f t="shared" si="9"/>
        <v/>
      </c>
      <c r="AI40" t="str">
        <f t="shared" si="10"/>
        <v/>
      </c>
      <c r="AP40" t="str">
        <f t="shared" si="5"/>
        <v/>
      </c>
      <c r="AU40" t="s">
        <v>209</v>
      </c>
      <c r="AW40" t="s">
        <v>210</v>
      </c>
    </row>
    <row r="41" spans="22:49" x14ac:dyDescent="0.3">
      <c r="V41" s="1" t="str">
        <f t="shared" si="6"/>
        <v/>
      </c>
      <c r="AF41" s="3" t="str">
        <f t="shared" si="7"/>
        <v/>
      </c>
      <c r="AG41" s="3" t="str">
        <f t="shared" si="8"/>
        <v/>
      </c>
      <c r="AH41" t="str">
        <f t="shared" si="9"/>
        <v/>
      </c>
      <c r="AI41" t="str">
        <f t="shared" si="10"/>
        <v/>
      </c>
      <c r="AP41" t="str">
        <f t="shared" si="5"/>
        <v/>
      </c>
      <c r="AU41" t="s">
        <v>211</v>
      </c>
      <c r="AW41" t="s">
        <v>212</v>
      </c>
    </row>
    <row r="42" spans="22:49" x14ac:dyDescent="0.3">
      <c r="V42" s="1" t="str">
        <f t="shared" si="6"/>
        <v/>
      </c>
      <c r="AF42" s="3" t="str">
        <f t="shared" si="7"/>
        <v/>
      </c>
      <c r="AG42" s="3" t="str">
        <f t="shared" si="8"/>
        <v/>
      </c>
      <c r="AH42" t="str">
        <f t="shared" si="9"/>
        <v/>
      </c>
      <c r="AI42" t="str">
        <f t="shared" si="10"/>
        <v/>
      </c>
      <c r="AP42" t="str">
        <f t="shared" si="5"/>
        <v/>
      </c>
      <c r="AU42" t="s">
        <v>213</v>
      </c>
      <c r="AW42" t="s">
        <v>214</v>
      </c>
    </row>
    <row r="43" spans="22:49" x14ac:dyDescent="0.3">
      <c r="V43" s="1" t="str">
        <f t="shared" si="6"/>
        <v/>
      </c>
      <c r="AF43" s="3" t="str">
        <f t="shared" si="7"/>
        <v/>
      </c>
      <c r="AG43" s="3" t="str">
        <f t="shared" si="8"/>
        <v/>
      </c>
      <c r="AH43" t="str">
        <f t="shared" si="9"/>
        <v/>
      </c>
      <c r="AI43" t="str">
        <f t="shared" si="10"/>
        <v/>
      </c>
      <c r="AP43" t="str">
        <f t="shared" si="5"/>
        <v/>
      </c>
      <c r="AU43" t="s">
        <v>215</v>
      </c>
      <c r="AW43" t="s">
        <v>216</v>
      </c>
    </row>
    <row r="44" spans="22:49" x14ac:dyDescent="0.3">
      <c r="V44" s="1" t="str">
        <f t="shared" si="6"/>
        <v/>
      </c>
      <c r="AF44" s="3" t="str">
        <f t="shared" si="7"/>
        <v/>
      </c>
      <c r="AG44" s="3" t="str">
        <f t="shared" si="8"/>
        <v/>
      </c>
      <c r="AH44" t="str">
        <f t="shared" si="9"/>
        <v/>
      </c>
      <c r="AI44" t="str">
        <f t="shared" si="10"/>
        <v/>
      </c>
      <c r="AP44" t="str">
        <f t="shared" si="5"/>
        <v/>
      </c>
      <c r="AU44" t="s">
        <v>217</v>
      </c>
      <c r="AW44" t="s">
        <v>218</v>
      </c>
    </row>
    <row r="45" spans="22:49" x14ac:dyDescent="0.3">
      <c r="V45" s="1" t="str">
        <f t="shared" si="6"/>
        <v/>
      </c>
      <c r="AF45" s="3" t="str">
        <f t="shared" si="7"/>
        <v/>
      </c>
      <c r="AG45" s="3" t="str">
        <f t="shared" si="8"/>
        <v/>
      </c>
      <c r="AH45" t="str">
        <f t="shared" si="9"/>
        <v/>
      </c>
      <c r="AI45" t="str">
        <f t="shared" si="10"/>
        <v/>
      </c>
      <c r="AP45" t="str">
        <f t="shared" si="5"/>
        <v/>
      </c>
      <c r="AU45" t="s">
        <v>219</v>
      </c>
      <c r="AW45" t="s">
        <v>220</v>
      </c>
    </row>
    <row r="46" spans="22:49" x14ac:dyDescent="0.3">
      <c r="V46" s="1" t="str">
        <f t="shared" si="6"/>
        <v/>
      </c>
      <c r="AF46" s="3" t="str">
        <f t="shared" si="7"/>
        <v/>
      </c>
      <c r="AG46" s="3" t="str">
        <f t="shared" si="8"/>
        <v/>
      </c>
      <c r="AH46" t="str">
        <f t="shared" si="9"/>
        <v/>
      </c>
      <c r="AI46" t="str">
        <f t="shared" si="10"/>
        <v/>
      </c>
      <c r="AP46" t="str">
        <f t="shared" si="5"/>
        <v/>
      </c>
      <c r="AU46" t="s">
        <v>221</v>
      </c>
      <c r="AW46" t="s">
        <v>222</v>
      </c>
    </row>
    <row r="47" spans="22:49" x14ac:dyDescent="0.3">
      <c r="V47" s="1" t="str">
        <f t="shared" si="6"/>
        <v/>
      </c>
      <c r="AF47" s="3" t="str">
        <f t="shared" si="7"/>
        <v/>
      </c>
      <c r="AG47" s="3" t="str">
        <f t="shared" si="8"/>
        <v/>
      </c>
      <c r="AH47" t="str">
        <f t="shared" si="9"/>
        <v/>
      </c>
      <c r="AI47" t="str">
        <f t="shared" si="10"/>
        <v/>
      </c>
      <c r="AP47" t="str">
        <f t="shared" si="5"/>
        <v/>
      </c>
      <c r="AU47" t="s">
        <v>223</v>
      </c>
      <c r="AW47" t="s">
        <v>224</v>
      </c>
    </row>
    <row r="48" spans="22:49" x14ac:dyDescent="0.3">
      <c r="V48" s="1" t="str">
        <f t="shared" si="6"/>
        <v/>
      </c>
      <c r="AF48" s="3" t="str">
        <f t="shared" si="7"/>
        <v/>
      </c>
      <c r="AG48" s="3" t="str">
        <f t="shared" si="8"/>
        <v/>
      </c>
      <c r="AH48" t="str">
        <f t="shared" si="9"/>
        <v/>
      </c>
      <c r="AI48" t="str">
        <f t="shared" si="10"/>
        <v/>
      </c>
      <c r="AP48" t="str">
        <f t="shared" si="5"/>
        <v/>
      </c>
      <c r="AU48" t="s">
        <v>225</v>
      </c>
      <c r="AW48" t="s">
        <v>226</v>
      </c>
    </row>
    <row r="49" spans="22:49" x14ac:dyDescent="0.3">
      <c r="V49" s="1" t="str">
        <f t="shared" si="6"/>
        <v/>
      </c>
      <c r="AF49" s="3" t="str">
        <f t="shared" si="7"/>
        <v/>
      </c>
      <c r="AG49" s="3" t="str">
        <f t="shared" si="8"/>
        <v/>
      </c>
      <c r="AH49" t="str">
        <f t="shared" si="9"/>
        <v/>
      </c>
      <c r="AI49" t="str">
        <f t="shared" si="10"/>
        <v/>
      </c>
      <c r="AP49" t="str">
        <f t="shared" si="5"/>
        <v/>
      </c>
      <c r="AU49" t="s">
        <v>227</v>
      </c>
      <c r="AW49" t="s">
        <v>228</v>
      </c>
    </row>
    <row r="50" spans="22:49" x14ac:dyDescent="0.3">
      <c r="V50" s="1" t="str">
        <f t="shared" si="6"/>
        <v/>
      </c>
      <c r="AF50" s="3" t="str">
        <f t="shared" si="7"/>
        <v/>
      </c>
      <c r="AG50" s="3" t="str">
        <f t="shared" si="8"/>
        <v/>
      </c>
      <c r="AH50" t="str">
        <f t="shared" si="9"/>
        <v/>
      </c>
      <c r="AI50" t="str">
        <f t="shared" si="10"/>
        <v/>
      </c>
      <c r="AP50" t="str">
        <f t="shared" si="5"/>
        <v/>
      </c>
      <c r="AU50" t="s">
        <v>229</v>
      </c>
      <c r="AW50" t="s">
        <v>230</v>
      </c>
    </row>
    <row r="51" spans="22:49" x14ac:dyDescent="0.3">
      <c r="V51" s="1" t="str">
        <f t="shared" si="6"/>
        <v/>
      </c>
      <c r="AF51" s="3" t="str">
        <f t="shared" si="7"/>
        <v/>
      </c>
      <c r="AG51" s="3" t="str">
        <f t="shared" si="8"/>
        <v/>
      </c>
      <c r="AH51" t="str">
        <f t="shared" si="9"/>
        <v/>
      </c>
      <c r="AI51" t="str">
        <f t="shared" si="10"/>
        <v/>
      </c>
      <c r="AP51" t="str">
        <f t="shared" si="5"/>
        <v/>
      </c>
      <c r="AU51" t="s">
        <v>231</v>
      </c>
      <c r="AW51" t="s">
        <v>232</v>
      </c>
    </row>
    <row r="52" spans="22:49" x14ac:dyDescent="0.3">
      <c r="V52" s="1" t="str">
        <f t="shared" si="6"/>
        <v/>
      </c>
      <c r="AF52" s="3" t="str">
        <f t="shared" si="7"/>
        <v/>
      </c>
      <c r="AG52" s="3" t="str">
        <f t="shared" si="8"/>
        <v/>
      </c>
      <c r="AH52" t="str">
        <f t="shared" si="9"/>
        <v/>
      </c>
      <c r="AI52" t="str">
        <f t="shared" si="10"/>
        <v/>
      </c>
      <c r="AP52" t="str">
        <f t="shared" si="5"/>
        <v/>
      </c>
      <c r="AU52" t="s">
        <v>233</v>
      </c>
      <c r="AW52" t="s">
        <v>234</v>
      </c>
    </row>
    <row r="53" spans="22:49" x14ac:dyDescent="0.3">
      <c r="V53" s="1" t="str">
        <f t="shared" si="6"/>
        <v/>
      </c>
      <c r="AF53" s="3" t="str">
        <f t="shared" si="7"/>
        <v/>
      </c>
      <c r="AG53" s="3" t="str">
        <f t="shared" si="8"/>
        <v/>
      </c>
      <c r="AH53" t="str">
        <f t="shared" si="9"/>
        <v/>
      </c>
      <c r="AI53" t="str">
        <f t="shared" si="10"/>
        <v/>
      </c>
      <c r="AP53" t="str">
        <f t="shared" si="5"/>
        <v/>
      </c>
      <c r="AU53" t="s">
        <v>235</v>
      </c>
      <c r="AW53" t="s">
        <v>236</v>
      </c>
    </row>
    <row r="54" spans="22:49" x14ac:dyDescent="0.3">
      <c r="V54" s="1" t="str">
        <f t="shared" si="6"/>
        <v/>
      </c>
      <c r="AF54" s="3" t="str">
        <f t="shared" si="7"/>
        <v/>
      </c>
      <c r="AG54" s="3" t="str">
        <f t="shared" si="8"/>
        <v/>
      </c>
      <c r="AH54" t="str">
        <f t="shared" si="9"/>
        <v/>
      </c>
      <c r="AI54" t="str">
        <f t="shared" si="10"/>
        <v/>
      </c>
      <c r="AP54" t="str">
        <f t="shared" si="5"/>
        <v/>
      </c>
      <c r="AU54" t="s">
        <v>237</v>
      </c>
      <c r="AW54" t="s">
        <v>238</v>
      </c>
    </row>
    <row r="55" spans="22:49" x14ac:dyDescent="0.3">
      <c r="V55" s="1" t="str">
        <f t="shared" si="6"/>
        <v/>
      </c>
      <c r="AF55" s="3" t="str">
        <f t="shared" si="7"/>
        <v/>
      </c>
      <c r="AG55" s="3" t="str">
        <f t="shared" si="8"/>
        <v/>
      </c>
      <c r="AH55" t="str">
        <f t="shared" si="9"/>
        <v/>
      </c>
      <c r="AI55" t="str">
        <f t="shared" si="10"/>
        <v/>
      </c>
      <c r="AP55" t="str">
        <f t="shared" si="5"/>
        <v/>
      </c>
      <c r="AU55" t="s">
        <v>239</v>
      </c>
      <c r="AW55" t="s">
        <v>240</v>
      </c>
    </row>
    <row r="56" spans="22:49" x14ac:dyDescent="0.3">
      <c r="V56" s="1" t="str">
        <f t="shared" si="6"/>
        <v/>
      </c>
      <c r="AF56" s="3" t="str">
        <f t="shared" si="7"/>
        <v/>
      </c>
      <c r="AG56" s="3" t="str">
        <f t="shared" si="8"/>
        <v/>
      </c>
      <c r="AH56" t="str">
        <f t="shared" si="9"/>
        <v/>
      </c>
      <c r="AI56" t="str">
        <f t="shared" si="10"/>
        <v/>
      </c>
      <c r="AP56" t="str">
        <f t="shared" si="5"/>
        <v/>
      </c>
      <c r="AU56" t="s">
        <v>241</v>
      </c>
      <c r="AW56" t="s">
        <v>242</v>
      </c>
    </row>
    <row r="57" spans="22:49" x14ac:dyDescent="0.3">
      <c r="V57" s="1" t="str">
        <f t="shared" si="6"/>
        <v/>
      </c>
      <c r="AF57" s="3" t="str">
        <f t="shared" si="7"/>
        <v/>
      </c>
      <c r="AG57" s="3" t="str">
        <f t="shared" si="8"/>
        <v/>
      </c>
      <c r="AH57" t="str">
        <f t="shared" si="9"/>
        <v/>
      </c>
      <c r="AI57" t="str">
        <f t="shared" si="10"/>
        <v/>
      </c>
      <c r="AP57" t="str">
        <f t="shared" si="5"/>
        <v/>
      </c>
      <c r="AU57" t="s">
        <v>243</v>
      </c>
      <c r="AW57" t="s">
        <v>244</v>
      </c>
    </row>
    <row r="58" spans="22:49" x14ac:dyDescent="0.3">
      <c r="V58" s="1" t="str">
        <f t="shared" si="6"/>
        <v/>
      </c>
      <c r="AF58" s="3" t="str">
        <f t="shared" si="7"/>
        <v/>
      </c>
      <c r="AG58" s="3" t="str">
        <f t="shared" si="8"/>
        <v/>
      </c>
      <c r="AH58" t="str">
        <f t="shared" si="9"/>
        <v/>
      </c>
      <c r="AI58" t="str">
        <f t="shared" si="10"/>
        <v/>
      </c>
      <c r="AP58" t="str">
        <f t="shared" si="5"/>
        <v/>
      </c>
      <c r="AU58" t="s">
        <v>245</v>
      </c>
      <c r="AW58" t="s">
        <v>246</v>
      </c>
    </row>
    <row r="59" spans="22:49" x14ac:dyDescent="0.3">
      <c r="V59" s="1" t="str">
        <f t="shared" si="6"/>
        <v/>
      </c>
      <c r="AF59" s="3" t="str">
        <f t="shared" si="7"/>
        <v/>
      </c>
      <c r="AG59" s="3" t="str">
        <f t="shared" si="8"/>
        <v/>
      </c>
      <c r="AH59" t="str">
        <f t="shared" si="9"/>
        <v/>
      </c>
      <c r="AI59" t="str">
        <f t="shared" si="10"/>
        <v/>
      </c>
      <c r="AP59" t="str">
        <f t="shared" si="5"/>
        <v/>
      </c>
      <c r="AU59" t="s">
        <v>247</v>
      </c>
      <c r="AW59" t="s">
        <v>248</v>
      </c>
    </row>
    <row r="60" spans="22:49" x14ac:dyDescent="0.3">
      <c r="V60" s="1" t="str">
        <f t="shared" si="6"/>
        <v/>
      </c>
      <c r="AF60" s="3" t="str">
        <f t="shared" si="7"/>
        <v/>
      </c>
      <c r="AG60" s="3" t="str">
        <f t="shared" si="8"/>
        <v/>
      </c>
      <c r="AH60" t="str">
        <f t="shared" si="9"/>
        <v/>
      </c>
      <c r="AI60" t="str">
        <f t="shared" si="10"/>
        <v/>
      </c>
      <c r="AP60" t="str">
        <f t="shared" si="5"/>
        <v/>
      </c>
      <c r="AU60" t="s">
        <v>249</v>
      </c>
      <c r="AW60" t="s">
        <v>250</v>
      </c>
    </row>
    <row r="61" spans="22:49" x14ac:dyDescent="0.3">
      <c r="V61" s="1" t="str">
        <f t="shared" si="6"/>
        <v/>
      </c>
      <c r="AF61" s="3" t="str">
        <f t="shared" si="7"/>
        <v/>
      </c>
      <c r="AG61" s="3" t="str">
        <f t="shared" si="8"/>
        <v/>
      </c>
      <c r="AH61" t="str">
        <f t="shared" si="9"/>
        <v/>
      </c>
      <c r="AI61" t="str">
        <f t="shared" si="10"/>
        <v/>
      </c>
      <c r="AP61" t="str">
        <f t="shared" si="5"/>
        <v/>
      </c>
      <c r="AU61" t="s">
        <v>251</v>
      </c>
      <c r="AW61" t="s">
        <v>252</v>
      </c>
    </row>
    <row r="62" spans="22:49" x14ac:dyDescent="0.3">
      <c r="V62" s="1" t="str">
        <f t="shared" si="6"/>
        <v/>
      </c>
      <c r="AF62" s="3" t="str">
        <f t="shared" si="7"/>
        <v/>
      </c>
      <c r="AG62" s="3" t="str">
        <f t="shared" si="8"/>
        <v/>
      </c>
      <c r="AH62" t="str">
        <f t="shared" si="9"/>
        <v/>
      </c>
      <c r="AI62" t="str">
        <f t="shared" si="10"/>
        <v/>
      </c>
      <c r="AP62" t="str">
        <f t="shared" si="5"/>
        <v/>
      </c>
      <c r="AU62" t="s">
        <v>253</v>
      </c>
      <c r="AW62" t="s">
        <v>254</v>
      </c>
    </row>
    <row r="63" spans="22:49" x14ac:dyDescent="0.3">
      <c r="V63" s="1" t="str">
        <f t="shared" si="6"/>
        <v/>
      </c>
      <c r="AF63" s="3" t="str">
        <f t="shared" si="7"/>
        <v/>
      </c>
      <c r="AG63" s="3" t="str">
        <f t="shared" si="8"/>
        <v/>
      </c>
      <c r="AH63" t="str">
        <f t="shared" si="9"/>
        <v/>
      </c>
      <c r="AI63" t="str">
        <f t="shared" si="10"/>
        <v/>
      </c>
      <c r="AP63" t="str">
        <f t="shared" si="5"/>
        <v/>
      </c>
      <c r="AU63" t="s">
        <v>255</v>
      </c>
      <c r="AW63" t="s">
        <v>256</v>
      </c>
    </row>
    <row r="64" spans="22:49" x14ac:dyDescent="0.3">
      <c r="V64" s="1" t="str">
        <f t="shared" si="6"/>
        <v/>
      </c>
      <c r="AF64" s="3" t="str">
        <f t="shared" si="7"/>
        <v/>
      </c>
      <c r="AG64" s="3" t="str">
        <f t="shared" si="8"/>
        <v/>
      </c>
      <c r="AH64" t="str">
        <f t="shared" si="9"/>
        <v/>
      </c>
      <c r="AI64" t="str">
        <f t="shared" si="10"/>
        <v/>
      </c>
      <c r="AP64" t="str">
        <f t="shared" si="5"/>
        <v/>
      </c>
      <c r="AU64" t="s">
        <v>257</v>
      </c>
      <c r="AW64" t="s">
        <v>258</v>
      </c>
    </row>
    <row r="65" spans="22:49" x14ac:dyDescent="0.3">
      <c r="V65" s="1" t="str">
        <f t="shared" si="6"/>
        <v/>
      </c>
      <c r="AF65" s="3" t="str">
        <f t="shared" si="7"/>
        <v/>
      </c>
      <c r="AG65" s="3" t="str">
        <f t="shared" si="8"/>
        <v/>
      </c>
      <c r="AH65" t="str">
        <f t="shared" si="9"/>
        <v/>
      </c>
      <c r="AI65" t="str">
        <f t="shared" si="10"/>
        <v/>
      </c>
      <c r="AP65" t="str">
        <f t="shared" si="5"/>
        <v/>
      </c>
      <c r="AU65" t="s">
        <v>259</v>
      </c>
      <c r="AW65" t="s">
        <v>260</v>
      </c>
    </row>
    <row r="66" spans="22:49" x14ac:dyDescent="0.3">
      <c r="V66" s="1" t="str">
        <f t="shared" ref="V66:V101" si="11">IF($R66="","",TRIM(MID($R66,FIND(" - ",$R66)+3,LEN($R66))))</f>
        <v/>
      </c>
      <c r="AF66" s="3" t="str">
        <f t="shared" ref="AF66:AF97" si="12">IF(AE66=18%,ROUND((Y66+AI66)*0.18,2),"")</f>
        <v/>
      </c>
      <c r="AG66" s="3" t="str">
        <f t="shared" ref="AG66:AG101" si="13">IF(AE66=25%,ROUND((Y66+AI66)*0.25,2),"")</f>
        <v/>
      </c>
      <c r="AH66" t="str">
        <f t="shared" ref="AH66:AH101" si="14">IF(OR($Y66="",$Z66=""),"",IFERROR($Y66/$Z66,0))</f>
        <v/>
      </c>
      <c r="AI66" t="str">
        <f t="shared" ref="AI66:AI101" si="15">IF($Y66="","",
IF($S66="","",
IF(ISNUMBER(SEARCH("exempt",LOWER($S66))),0,
$Y66*(VALUE(SUBSTITUTE($S66,"%",""))/100))))</f>
        <v/>
      </c>
      <c r="AP66" t="str">
        <f t="shared" si="5"/>
        <v/>
      </c>
      <c r="AU66" t="s">
        <v>261</v>
      </c>
      <c r="AW66" t="s">
        <v>262</v>
      </c>
    </row>
    <row r="67" spans="22:49" x14ac:dyDescent="0.3">
      <c r="V67" s="1" t="str">
        <f t="shared" si="11"/>
        <v/>
      </c>
      <c r="AF67" s="3" t="str">
        <f t="shared" si="12"/>
        <v/>
      </c>
      <c r="AG67" s="3" t="str">
        <f t="shared" si="13"/>
        <v/>
      </c>
      <c r="AH67" t="str">
        <f t="shared" si="14"/>
        <v/>
      </c>
      <c r="AI67" t="str">
        <f t="shared" si="15"/>
        <v/>
      </c>
      <c r="AP67" t="str">
        <f t="shared" ref="AP67:AP130" si="16">IF($Y67="","",
SUM($Y67,$AI67,$AM67,$AJ67,$AL67,$AK67,$AN67,$AD67,$AF67,$AG67)-
IF($AO67="",0,VALUE($AO67)))</f>
        <v/>
      </c>
      <c r="AU67" t="s">
        <v>263</v>
      </c>
      <c r="AW67" t="s">
        <v>264</v>
      </c>
    </row>
    <row r="68" spans="22:49" x14ac:dyDescent="0.3">
      <c r="V68" s="1" t="str">
        <f t="shared" si="11"/>
        <v/>
      </c>
      <c r="AF68" s="3" t="str">
        <f t="shared" si="12"/>
        <v/>
      </c>
      <c r="AG68" s="3" t="str">
        <f t="shared" si="13"/>
        <v/>
      </c>
      <c r="AH68" t="str">
        <f t="shared" si="14"/>
        <v/>
      </c>
      <c r="AI68" t="str">
        <f t="shared" si="15"/>
        <v/>
      </c>
      <c r="AP68" t="str">
        <f t="shared" si="16"/>
        <v/>
      </c>
      <c r="AW68" t="s">
        <v>265</v>
      </c>
    </row>
    <row r="69" spans="22:49" x14ac:dyDescent="0.3">
      <c r="V69" s="1" t="str">
        <f t="shared" si="11"/>
        <v/>
      </c>
      <c r="AF69" s="3" t="str">
        <f t="shared" si="12"/>
        <v/>
      </c>
      <c r="AG69" s="3" t="str">
        <f t="shared" si="13"/>
        <v/>
      </c>
      <c r="AH69" t="str">
        <f t="shared" si="14"/>
        <v/>
      </c>
      <c r="AI69" t="str">
        <f t="shared" si="15"/>
        <v/>
      </c>
      <c r="AP69" t="str">
        <f t="shared" si="16"/>
        <v/>
      </c>
      <c r="AW69" t="s">
        <v>266</v>
      </c>
    </row>
    <row r="70" spans="22:49" x14ac:dyDescent="0.3">
      <c r="V70" s="1" t="str">
        <f t="shared" si="11"/>
        <v/>
      </c>
      <c r="AF70" s="3" t="str">
        <f t="shared" si="12"/>
        <v/>
      </c>
      <c r="AG70" s="3" t="str">
        <f t="shared" si="13"/>
        <v/>
      </c>
      <c r="AH70" t="str">
        <f t="shared" si="14"/>
        <v/>
      </c>
      <c r="AI70" t="str">
        <f t="shared" si="15"/>
        <v/>
      </c>
      <c r="AP70" t="str">
        <f t="shared" si="16"/>
        <v/>
      </c>
      <c r="AW70" t="s">
        <v>267</v>
      </c>
    </row>
    <row r="71" spans="22:49" x14ac:dyDescent="0.3">
      <c r="V71" s="1" t="str">
        <f t="shared" si="11"/>
        <v/>
      </c>
      <c r="AF71" s="3" t="str">
        <f t="shared" si="12"/>
        <v/>
      </c>
      <c r="AG71" s="3" t="str">
        <f t="shared" si="13"/>
        <v/>
      </c>
      <c r="AH71" t="str">
        <f t="shared" si="14"/>
        <v/>
      </c>
      <c r="AI71" t="str">
        <f t="shared" si="15"/>
        <v/>
      </c>
      <c r="AP71" t="str">
        <f t="shared" si="16"/>
        <v/>
      </c>
      <c r="AW71" t="s">
        <v>268</v>
      </c>
    </row>
    <row r="72" spans="22:49" x14ac:dyDescent="0.3">
      <c r="V72" s="1" t="str">
        <f t="shared" si="11"/>
        <v/>
      </c>
      <c r="AF72" s="3" t="str">
        <f t="shared" si="12"/>
        <v/>
      </c>
      <c r="AG72" s="3" t="str">
        <f t="shared" si="13"/>
        <v/>
      </c>
      <c r="AH72" t="str">
        <f t="shared" si="14"/>
        <v/>
      </c>
      <c r="AI72" t="str">
        <f t="shared" si="15"/>
        <v/>
      </c>
      <c r="AP72" t="str">
        <f t="shared" si="16"/>
        <v/>
      </c>
      <c r="AW72" t="s">
        <v>269</v>
      </c>
    </row>
    <row r="73" spans="22:49" x14ac:dyDescent="0.3">
      <c r="V73" s="1" t="str">
        <f t="shared" si="11"/>
        <v/>
      </c>
      <c r="AF73" s="3" t="str">
        <f t="shared" si="12"/>
        <v/>
      </c>
      <c r="AG73" s="3" t="str">
        <f t="shared" si="13"/>
        <v/>
      </c>
      <c r="AH73" t="str">
        <f t="shared" si="14"/>
        <v/>
      </c>
      <c r="AI73" t="str">
        <f t="shared" si="15"/>
        <v/>
      </c>
      <c r="AP73" t="str">
        <f t="shared" si="16"/>
        <v/>
      </c>
      <c r="AW73" t="s">
        <v>270</v>
      </c>
    </row>
    <row r="74" spans="22:49" x14ac:dyDescent="0.3">
      <c r="V74" s="1" t="str">
        <f t="shared" si="11"/>
        <v/>
      </c>
      <c r="AF74" s="3" t="str">
        <f t="shared" si="12"/>
        <v/>
      </c>
      <c r="AG74" s="3" t="str">
        <f t="shared" si="13"/>
        <v/>
      </c>
      <c r="AH74" t="str">
        <f t="shared" si="14"/>
        <v/>
      </c>
      <c r="AI74" t="str">
        <f t="shared" si="15"/>
        <v/>
      </c>
      <c r="AP74" t="str">
        <f t="shared" si="16"/>
        <v/>
      </c>
      <c r="AW74" t="s">
        <v>271</v>
      </c>
    </row>
    <row r="75" spans="22:49" x14ac:dyDescent="0.3">
      <c r="V75" s="1" t="str">
        <f t="shared" si="11"/>
        <v/>
      </c>
      <c r="AF75" s="3" t="str">
        <f t="shared" si="12"/>
        <v/>
      </c>
      <c r="AG75" s="3" t="str">
        <f t="shared" si="13"/>
        <v/>
      </c>
      <c r="AH75" t="str">
        <f t="shared" si="14"/>
        <v/>
      </c>
      <c r="AI75" t="str">
        <f t="shared" si="15"/>
        <v/>
      </c>
      <c r="AP75" t="str">
        <f t="shared" si="16"/>
        <v/>
      </c>
      <c r="AW75" t="s">
        <v>272</v>
      </c>
    </row>
    <row r="76" spans="22:49" x14ac:dyDescent="0.3">
      <c r="V76" s="1" t="str">
        <f t="shared" si="11"/>
        <v/>
      </c>
      <c r="AF76" s="3" t="str">
        <f t="shared" si="12"/>
        <v/>
      </c>
      <c r="AG76" s="3" t="str">
        <f t="shared" si="13"/>
        <v/>
      </c>
      <c r="AH76" t="str">
        <f t="shared" si="14"/>
        <v/>
      </c>
      <c r="AI76" t="str">
        <f t="shared" si="15"/>
        <v/>
      </c>
      <c r="AP76" t="str">
        <f t="shared" si="16"/>
        <v/>
      </c>
      <c r="AW76" t="s">
        <v>273</v>
      </c>
    </row>
    <row r="77" spans="22:49" x14ac:dyDescent="0.3">
      <c r="V77" s="1" t="str">
        <f t="shared" si="11"/>
        <v/>
      </c>
      <c r="AF77" s="3" t="str">
        <f t="shared" si="12"/>
        <v/>
      </c>
      <c r="AG77" s="3" t="str">
        <f t="shared" si="13"/>
        <v/>
      </c>
      <c r="AH77" t="str">
        <f t="shared" si="14"/>
        <v/>
      </c>
      <c r="AI77" t="str">
        <f t="shared" si="15"/>
        <v/>
      </c>
      <c r="AP77" t="str">
        <f t="shared" si="16"/>
        <v/>
      </c>
      <c r="AW77" t="s">
        <v>274</v>
      </c>
    </row>
    <row r="78" spans="22:49" x14ac:dyDescent="0.3">
      <c r="V78" s="1" t="str">
        <f t="shared" si="11"/>
        <v/>
      </c>
      <c r="AF78" s="3" t="str">
        <f t="shared" si="12"/>
        <v/>
      </c>
      <c r="AG78" s="3" t="str">
        <f t="shared" si="13"/>
        <v/>
      </c>
      <c r="AH78" t="str">
        <f t="shared" si="14"/>
        <v/>
      </c>
      <c r="AI78" t="str">
        <f t="shared" si="15"/>
        <v/>
      </c>
      <c r="AP78" t="str">
        <f t="shared" si="16"/>
        <v/>
      </c>
      <c r="AW78" t="s">
        <v>275</v>
      </c>
    </row>
    <row r="79" spans="22:49" x14ac:dyDescent="0.3">
      <c r="V79" s="1" t="str">
        <f t="shared" si="11"/>
        <v/>
      </c>
      <c r="AF79" s="3" t="str">
        <f t="shared" si="12"/>
        <v/>
      </c>
      <c r="AG79" s="3" t="str">
        <f t="shared" si="13"/>
        <v/>
      </c>
      <c r="AH79" t="str">
        <f t="shared" si="14"/>
        <v/>
      </c>
      <c r="AI79" t="str">
        <f t="shared" si="15"/>
        <v/>
      </c>
      <c r="AP79" t="str">
        <f t="shared" si="16"/>
        <v/>
      </c>
      <c r="AW79" t="s">
        <v>276</v>
      </c>
    </row>
    <row r="80" spans="22:49" x14ac:dyDescent="0.3">
      <c r="V80" s="1" t="str">
        <f t="shared" si="11"/>
        <v/>
      </c>
      <c r="AF80" s="3" t="str">
        <f t="shared" si="12"/>
        <v/>
      </c>
      <c r="AG80" s="3" t="str">
        <f t="shared" si="13"/>
        <v/>
      </c>
      <c r="AH80" t="str">
        <f t="shared" si="14"/>
        <v/>
      </c>
      <c r="AI80" t="str">
        <f t="shared" si="15"/>
        <v/>
      </c>
      <c r="AP80" t="str">
        <f t="shared" si="16"/>
        <v/>
      </c>
      <c r="AW80" t="s">
        <v>277</v>
      </c>
    </row>
    <row r="81" spans="22:49" x14ac:dyDescent="0.3">
      <c r="V81" s="1" t="str">
        <f t="shared" si="11"/>
        <v/>
      </c>
      <c r="AF81" s="3" t="str">
        <f t="shared" si="12"/>
        <v/>
      </c>
      <c r="AG81" s="3" t="str">
        <f t="shared" si="13"/>
        <v/>
      </c>
      <c r="AH81" t="str">
        <f t="shared" si="14"/>
        <v/>
      </c>
      <c r="AI81" t="str">
        <f t="shared" si="15"/>
        <v/>
      </c>
      <c r="AP81" t="str">
        <f t="shared" si="16"/>
        <v/>
      </c>
      <c r="AW81" t="s">
        <v>278</v>
      </c>
    </row>
    <row r="82" spans="22:49" x14ac:dyDescent="0.3">
      <c r="V82" s="1" t="str">
        <f t="shared" si="11"/>
        <v/>
      </c>
      <c r="AF82" s="3" t="str">
        <f t="shared" si="12"/>
        <v/>
      </c>
      <c r="AG82" s="3" t="str">
        <f t="shared" si="13"/>
        <v/>
      </c>
      <c r="AH82" t="str">
        <f t="shared" si="14"/>
        <v/>
      </c>
      <c r="AI82" t="str">
        <f t="shared" si="15"/>
        <v/>
      </c>
      <c r="AP82" t="str">
        <f t="shared" si="16"/>
        <v/>
      </c>
      <c r="AW82" t="s">
        <v>279</v>
      </c>
    </row>
    <row r="83" spans="22:49" x14ac:dyDescent="0.3">
      <c r="V83" s="1" t="str">
        <f t="shared" si="11"/>
        <v/>
      </c>
      <c r="AF83" s="3" t="str">
        <f t="shared" si="12"/>
        <v/>
      </c>
      <c r="AG83" s="3" t="str">
        <f t="shared" si="13"/>
        <v/>
      </c>
      <c r="AH83" t="str">
        <f t="shared" si="14"/>
        <v/>
      </c>
      <c r="AI83" t="str">
        <f t="shared" si="15"/>
        <v/>
      </c>
      <c r="AP83" t="str">
        <f t="shared" si="16"/>
        <v/>
      </c>
      <c r="AW83" t="s">
        <v>280</v>
      </c>
    </row>
    <row r="84" spans="22:49" x14ac:dyDescent="0.3">
      <c r="V84" s="1" t="str">
        <f t="shared" si="11"/>
        <v/>
      </c>
      <c r="AF84" s="3" t="str">
        <f t="shared" si="12"/>
        <v/>
      </c>
      <c r="AG84" s="3" t="str">
        <f t="shared" si="13"/>
        <v/>
      </c>
      <c r="AH84" t="str">
        <f t="shared" si="14"/>
        <v/>
      </c>
      <c r="AI84" t="str">
        <f t="shared" si="15"/>
        <v/>
      </c>
      <c r="AP84" t="str">
        <f t="shared" si="16"/>
        <v/>
      </c>
      <c r="AW84" t="s">
        <v>281</v>
      </c>
    </row>
    <row r="85" spans="22:49" x14ac:dyDescent="0.3">
      <c r="V85" s="1" t="str">
        <f t="shared" si="11"/>
        <v/>
      </c>
      <c r="AF85" s="3" t="str">
        <f t="shared" si="12"/>
        <v/>
      </c>
      <c r="AG85" s="3" t="str">
        <f t="shared" si="13"/>
        <v/>
      </c>
      <c r="AH85" t="str">
        <f t="shared" si="14"/>
        <v/>
      </c>
      <c r="AI85" t="str">
        <f t="shared" si="15"/>
        <v/>
      </c>
      <c r="AP85" t="str">
        <f t="shared" si="16"/>
        <v/>
      </c>
      <c r="AW85" t="s">
        <v>282</v>
      </c>
    </row>
    <row r="86" spans="22:49" x14ac:dyDescent="0.3">
      <c r="V86" s="1" t="str">
        <f t="shared" si="11"/>
        <v/>
      </c>
      <c r="AF86" s="3" t="str">
        <f t="shared" si="12"/>
        <v/>
      </c>
      <c r="AG86" s="3" t="str">
        <f t="shared" si="13"/>
        <v/>
      </c>
      <c r="AH86" t="str">
        <f t="shared" si="14"/>
        <v/>
      </c>
      <c r="AI86" t="str">
        <f t="shared" si="15"/>
        <v/>
      </c>
      <c r="AP86" t="str">
        <f t="shared" si="16"/>
        <v/>
      </c>
      <c r="AW86" t="s">
        <v>283</v>
      </c>
    </row>
    <row r="87" spans="22:49" x14ac:dyDescent="0.3">
      <c r="V87" s="1" t="str">
        <f t="shared" si="11"/>
        <v/>
      </c>
      <c r="AF87" s="3" t="str">
        <f t="shared" si="12"/>
        <v/>
      </c>
      <c r="AG87" s="3" t="str">
        <f t="shared" si="13"/>
        <v/>
      </c>
      <c r="AH87" t="str">
        <f t="shared" si="14"/>
        <v/>
      </c>
      <c r="AI87" t="str">
        <f t="shared" si="15"/>
        <v/>
      </c>
      <c r="AP87" t="str">
        <f t="shared" si="16"/>
        <v/>
      </c>
      <c r="AW87" t="s">
        <v>284</v>
      </c>
    </row>
    <row r="88" spans="22:49" x14ac:dyDescent="0.3">
      <c r="V88" s="1" t="str">
        <f t="shared" si="11"/>
        <v/>
      </c>
      <c r="AF88" s="3" t="str">
        <f t="shared" si="12"/>
        <v/>
      </c>
      <c r="AG88" s="3" t="str">
        <f t="shared" si="13"/>
        <v/>
      </c>
      <c r="AH88" t="str">
        <f t="shared" si="14"/>
        <v/>
      </c>
      <c r="AI88" t="str">
        <f t="shared" si="15"/>
        <v/>
      </c>
      <c r="AP88" t="str">
        <f t="shared" si="16"/>
        <v/>
      </c>
      <c r="AW88" t="s">
        <v>285</v>
      </c>
    </row>
    <row r="89" spans="22:49" x14ac:dyDescent="0.3">
      <c r="V89" s="1" t="str">
        <f t="shared" si="11"/>
        <v/>
      </c>
      <c r="AF89" s="3" t="str">
        <f t="shared" si="12"/>
        <v/>
      </c>
      <c r="AG89" s="3" t="str">
        <f t="shared" si="13"/>
        <v/>
      </c>
      <c r="AH89" t="str">
        <f t="shared" si="14"/>
        <v/>
      </c>
      <c r="AI89" t="str">
        <f t="shared" si="15"/>
        <v/>
      </c>
      <c r="AP89" t="str">
        <f t="shared" si="16"/>
        <v/>
      </c>
      <c r="AW89" t="s">
        <v>286</v>
      </c>
    </row>
    <row r="90" spans="22:49" x14ac:dyDescent="0.3">
      <c r="V90" s="1" t="str">
        <f t="shared" si="11"/>
        <v/>
      </c>
      <c r="AF90" s="3" t="str">
        <f t="shared" si="12"/>
        <v/>
      </c>
      <c r="AG90" s="3" t="str">
        <f t="shared" si="13"/>
        <v/>
      </c>
      <c r="AH90" t="str">
        <f t="shared" si="14"/>
        <v/>
      </c>
      <c r="AI90" t="str">
        <f t="shared" si="15"/>
        <v/>
      </c>
      <c r="AP90" t="str">
        <f t="shared" si="16"/>
        <v/>
      </c>
      <c r="AW90" t="s">
        <v>287</v>
      </c>
    </row>
    <row r="91" spans="22:49" x14ac:dyDescent="0.3">
      <c r="V91" s="1" t="str">
        <f t="shared" si="11"/>
        <v/>
      </c>
      <c r="AF91" s="3" t="str">
        <f t="shared" si="12"/>
        <v/>
      </c>
      <c r="AG91" s="3" t="str">
        <f t="shared" si="13"/>
        <v/>
      </c>
      <c r="AH91" t="str">
        <f t="shared" si="14"/>
        <v/>
      </c>
      <c r="AI91" t="str">
        <f t="shared" si="15"/>
        <v/>
      </c>
      <c r="AP91" t="str">
        <f t="shared" si="16"/>
        <v/>
      </c>
      <c r="AW91" t="s">
        <v>288</v>
      </c>
    </row>
    <row r="92" spans="22:49" x14ac:dyDescent="0.3">
      <c r="V92" s="1" t="str">
        <f t="shared" si="11"/>
        <v/>
      </c>
      <c r="AF92" s="3" t="str">
        <f t="shared" si="12"/>
        <v/>
      </c>
      <c r="AG92" s="3" t="str">
        <f t="shared" si="13"/>
        <v/>
      </c>
      <c r="AH92" t="str">
        <f t="shared" si="14"/>
        <v/>
      </c>
      <c r="AI92" t="str">
        <f t="shared" si="15"/>
        <v/>
      </c>
      <c r="AP92" t="str">
        <f t="shared" si="16"/>
        <v/>
      </c>
      <c r="AW92" t="s">
        <v>289</v>
      </c>
    </row>
    <row r="93" spans="22:49" x14ac:dyDescent="0.3">
      <c r="V93" s="1" t="str">
        <f t="shared" si="11"/>
        <v/>
      </c>
      <c r="AF93" s="3" t="str">
        <f t="shared" si="12"/>
        <v/>
      </c>
      <c r="AG93" s="3" t="str">
        <f t="shared" si="13"/>
        <v/>
      </c>
      <c r="AH93" t="str">
        <f t="shared" si="14"/>
        <v/>
      </c>
      <c r="AI93" t="str">
        <f t="shared" si="15"/>
        <v/>
      </c>
      <c r="AP93" t="str">
        <f t="shared" si="16"/>
        <v/>
      </c>
      <c r="AW93" t="s">
        <v>290</v>
      </c>
    </row>
    <row r="94" spans="22:49" x14ac:dyDescent="0.3">
      <c r="V94" s="1" t="str">
        <f t="shared" si="11"/>
        <v/>
      </c>
      <c r="AF94" s="3" t="str">
        <f t="shared" si="12"/>
        <v/>
      </c>
      <c r="AG94" s="3" t="str">
        <f t="shared" si="13"/>
        <v/>
      </c>
      <c r="AH94" t="str">
        <f t="shared" si="14"/>
        <v/>
      </c>
      <c r="AI94" t="str">
        <f t="shared" si="15"/>
        <v/>
      </c>
      <c r="AP94" t="str">
        <f t="shared" si="16"/>
        <v/>
      </c>
      <c r="AW94" t="s">
        <v>291</v>
      </c>
    </row>
    <row r="95" spans="22:49" x14ac:dyDescent="0.3">
      <c r="V95" s="1" t="str">
        <f t="shared" si="11"/>
        <v/>
      </c>
      <c r="AF95" s="3" t="str">
        <f t="shared" si="12"/>
        <v/>
      </c>
      <c r="AG95" s="3" t="str">
        <f t="shared" si="13"/>
        <v/>
      </c>
      <c r="AH95" t="str">
        <f t="shared" si="14"/>
        <v/>
      </c>
      <c r="AI95" t="str">
        <f t="shared" si="15"/>
        <v/>
      </c>
      <c r="AP95" t="str">
        <f t="shared" si="16"/>
        <v/>
      </c>
      <c r="AW95" t="s">
        <v>292</v>
      </c>
    </row>
    <row r="96" spans="22:49" x14ac:dyDescent="0.3">
      <c r="V96" s="1" t="str">
        <f t="shared" si="11"/>
        <v/>
      </c>
      <c r="AF96" s="3" t="str">
        <f t="shared" si="12"/>
        <v/>
      </c>
      <c r="AG96" s="3" t="str">
        <f t="shared" si="13"/>
        <v/>
      </c>
      <c r="AH96" t="str">
        <f t="shared" si="14"/>
        <v/>
      </c>
      <c r="AI96" t="str">
        <f t="shared" si="15"/>
        <v/>
      </c>
      <c r="AP96" t="str">
        <f t="shared" si="16"/>
        <v/>
      </c>
      <c r="AW96" t="s">
        <v>293</v>
      </c>
    </row>
    <row r="97" spans="1:49" x14ac:dyDescent="0.3">
      <c r="V97" s="1" t="str">
        <f t="shared" si="11"/>
        <v/>
      </c>
      <c r="AF97" s="3" t="str">
        <f t="shared" si="12"/>
        <v/>
      </c>
      <c r="AG97" s="3" t="str">
        <f t="shared" si="13"/>
        <v/>
      </c>
      <c r="AH97" t="str">
        <f t="shared" si="14"/>
        <v/>
      </c>
      <c r="AI97" t="str">
        <f t="shared" si="15"/>
        <v/>
      </c>
      <c r="AP97" t="str">
        <f t="shared" si="16"/>
        <v/>
      </c>
      <c r="AW97" t="s">
        <v>294</v>
      </c>
    </row>
    <row r="98" spans="1:49" x14ac:dyDescent="0.3">
      <c r="V98" s="1" t="str">
        <f t="shared" si="11"/>
        <v/>
      </c>
      <c r="AF98" s="3" t="str">
        <f t="shared" ref="AF98:AF129" si="17">IF(AE98=18%,ROUND((Y98+AI98)*0.18,2),"")</f>
        <v/>
      </c>
      <c r="AG98" s="3" t="str">
        <f t="shared" si="13"/>
        <v/>
      </c>
      <c r="AH98" t="str">
        <f t="shared" si="14"/>
        <v/>
      </c>
      <c r="AI98" t="str">
        <f t="shared" si="15"/>
        <v/>
      </c>
      <c r="AP98" t="str">
        <f t="shared" si="16"/>
        <v/>
      </c>
      <c r="AW98" t="s">
        <v>295</v>
      </c>
    </row>
    <row r="99" spans="1:49" x14ac:dyDescent="0.3">
      <c r="V99" s="1" t="str">
        <f t="shared" si="11"/>
        <v/>
      </c>
      <c r="AF99" s="3" t="str">
        <f t="shared" si="17"/>
        <v/>
      </c>
      <c r="AG99" s="3" t="str">
        <f t="shared" si="13"/>
        <v/>
      </c>
      <c r="AH99" t="str">
        <f t="shared" si="14"/>
        <v/>
      </c>
      <c r="AI99" t="str">
        <f t="shared" si="15"/>
        <v/>
      </c>
      <c r="AP99" t="str">
        <f t="shared" si="16"/>
        <v/>
      </c>
      <c r="AW99" t="s">
        <v>296</v>
      </c>
    </row>
    <row r="100" spans="1:49" x14ac:dyDescent="0.3">
      <c r="V100" s="1" t="str">
        <f t="shared" si="11"/>
        <v/>
      </c>
      <c r="AF100" s="3" t="str">
        <f t="shared" si="17"/>
        <v/>
      </c>
      <c r="AG100" s="3" t="str">
        <f t="shared" si="13"/>
        <v/>
      </c>
      <c r="AH100" t="str">
        <f t="shared" si="14"/>
        <v/>
      </c>
      <c r="AI100" t="str">
        <f t="shared" si="15"/>
        <v/>
      </c>
      <c r="AP100" t="str">
        <f t="shared" si="16"/>
        <v/>
      </c>
      <c r="AW100" t="s">
        <v>297</v>
      </c>
    </row>
    <row r="101" spans="1:49" x14ac:dyDescent="0.3">
      <c r="V101" s="1" t="str">
        <f t="shared" si="11"/>
        <v/>
      </c>
      <c r="AF101" s="3" t="str">
        <f t="shared" si="17"/>
        <v/>
      </c>
      <c r="AG101" s="3" t="str">
        <f t="shared" si="13"/>
        <v/>
      </c>
      <c r="AH101" t="str">
        <f t="shared" si="14"/>
        <v/>
      </c>
      <c r="AI101" t="str">
        <f t="shared" si="15"/>
        <v/>
      </c>
      <c r="AP101" t="str">
        <f t="shared" si="16"/>
        <v/>
      </c>
      <c r="AW101" t="s">
        <v>298</v>
      </c>
    </row>
    <row r="102" spans="1:49" x14ac:dyDescent="0.3">
      <c r="A102" t="s">
        <v>299</v>
      </c>
      <c r="AP102" t="str">
        <f t="shared" si="16"/>
        <v/>
      </c>
      <c r="AW102" t="s">
        <v>300</v>
      </c>
    </row>
    <row r="103" spans="1:49" x14ac:dyDescent="0.3">
      <c r="AP103" t="str">
        <f t="shared" si="16"/>
        <v/>
      </c>
      <c r="AW103" t="s">
        <v>301</v>
      </c>
    </row>
    <row r="104" spans="1:49" x14ac:dyDescent="0.3">
      <c r="A104" s="8" t="s">
        <v>302</v>
      </c>
      <c r="AP104" t="str">
        <f t="shared" si="16"/>
        <v/>
      </c>
      <c r="AW104" t="s">
        <v>303</v>
      </c>
    </row>
    <row r="105" spans="1:49" x14ac:dyDescent="0.3">
      <c r="A105" s="9" t="s">
        <v>304</v>
      </c>
      <c r="AP105" t="str">
        <f t="shared" si="16"/>
        <v/>
      </c>
      <c r="AW105" t="s">
        <v>305</v>
      </c>
    </row>
    <row r="106" spans="1:49" x14ac:dyDescent="0.3">
      <c r="A106" s="9" t="s">
        <v>306</v>
      </c>
      <c r="AP106" t="str">
        <f t="shared" si="16"/>
        <v/>
      </c>
      <c r="AW106" t="s">
        <v>307</v>
      </c>
    </row>
    <row r="107" spans="1:49" x14ac:dyDescent="0.3">
      <c r="A107" s="9" t="s">
        <v>308</v>
      </c>
      <c r="AP107" t="str">
        <f t="shared" si="16"/>
        <v/>
      </c>
      <c r="AW107" t="s">
        <v>309</v>
      </c>
    </row>
    <row r="108" spans="1:49" x14ac:dyDescent="0.3">
      <c r="A108" s="9" t="s">
        <v>310</v>
      </c>
      <c r="AP108" t="str">
        <f t="shared" si="16"/>
        <v/>
      </c>
      <c r="AW108" t="s">
        <v>311</v>
      </c>
    </row>
    <row r="109" spans="1:49" x14ac:dyDescent="0.3">
      <c r="A109" s="9" t="s">
        <v>312</v>
      </c>
      <c r="AP109" t="str">
        <f t="shared" si="16"/>
        <v/>
      </c>
      <c r="AW109" t="s">
        <v>313</v>
      </c>
    </row>
    <row r="110" spans="1:49" x14ac:dyDescent="0.3">
      <c r="A110" s="9" t="s">
        <v>314</v>
      </c>
      <c r="AP110" t="str">
        <f t="shared" si="16"/>
        <v/>
      </c>
      <c r="AW110" t="s">
        <v>315</v>
      </c>
    </row>
    <row r="111" spans="1:49" x14ac:dyDescent="0.3">
      <c r="A111" s="9" t="s">
        <v>316</v>
      </c>
      <c r="AP111" t="str">
        <f t="shared" si="16"/>
        <v/>
      </c>
      <c r="AW111" t="s">
        <v>317</v>
      </c>
    </row>
    <row r="112" spans="1:49" x14ac:dyDescent="0.3">
      <c r="A112" s="9" t="s">
        <v>318</v>
      </c>
      <c r="AP112" t="str">
        <f t="shared" si="16"/>
        <v/>
      </c>
      <c r="AW112" t="s">
        <v>319</v>
      </c>
    </row>
    <row r="113" spans="1:49" x14ac:dyDescent="0.3">
      <c r="A113" s="9" t="s">
        <v>320</v>
      </c>
      <c r="AP113" t="str">
        <f t="shared" si="16"/>
        <v/>
      </c>
      <c r="AW113" t="s">
        <v>321</v>
      </c>
    </row>
    <row r="114" spans="1:49" x14ac:dyDescent="0.3">
      <c r="A114" s="9" t="s">
        <v>322</v>
      </c>
      <c r="AP114" t="str">
        <f t="shared" si="16"/>
        <v/>
      </c>
      <c r="AW114" t="s">
        <v>323</v>
      </c>
    </row>
    <row r="115" spans="1:49" x14ac:dyDescent="0.3">
      <c r="A115" s="9" t="s">
        <v>324</v>
      </c>
      <c r="AP115" t="str">
        <f t="shared" si="16"/>
        <v/>
      </c>
      <c r="AW115" t="s">
        <v>325</v>
      </c>
    </row>
    <row r="116" spans="1:49" x14ac:dyDescent="0.3">
      <c r="AP116" t="str">
        <f t="shared" si="16"/>
        <v/>
      </c>
      <c r="AW116" t="s">
        <v>326</v>
      </c>
    </row>
    <row r="117" spans="1:49" x14ac:dyDescent="0.3">
      <c r="AP117" t="str">
        <f t="shared" si="16"/>
        <v/>
      </c>
      <c r="AW117" t="s">
        <v>327</v>
      </c>
    </row>
    <row r="118" spans="1:49" x14ac:dyDescent="0.3">
      <c r="AP118" t="str">
        <f t="shared" si="16"/>
        <v/>
      </c>
      <c r="AW118" t="s">
        <v>328</v>
      </c>
    </row>
    <row r="119" spans="1:49" x14ac:dyDescent="0.3">
      <c r="AP119" t="str">
        <f t="shared" si="16"/>
        <v/>
      </c>
      <c r="AW119" t="s">
        <v>329</v>
      </c>
    </row>
    <row r="120" spans="1:49" x14ac:dyDescent="0.3">
      <c r="AP120" t="str">
        <f t="shared" si="16"/>
        <v/>
      </c>
      <c r="AW120" t="s">
        <v>330</v>
      </c>
    </row>
    <row r="121" spans="1:49" x14ac:dyDescent="0.3">
      <c r="AP121" t="str">
        <f t="shared" si="16"/>
        <v/>
      </c>
      <c r="AW121" t="s">
        <v>331</v>
      </c>
    </row>
    <row r="122" spans="1:49" x14ac:dyDescent="0.3">
      <c r="AP122" t="str">
        <f t="shared" si="16"/>
        <v/>
      </c>
      <c r="AW122" t="s">
        <v>332</v>
      </c>
    </row>
    <row r="123" spans="1:49" x14ac:dyDescent="0.3">
      <c r="AP123" t="str">
        <f t="shared" si="16"/>
        <v/>
      </c>
      <c r="AW123" t="s">
        <v>333</v>
      </c>
    </row>
    <row r="124" spans="1:49" x14ac:dyDescent="0.3">
      <c r="AP124" t="str">
        <f t="shared" si="16"/>
        <v/>
      </c>
      <c r="AW124" t="s">
        <v>334</v>
      </c>
    </row>
    <row r="125" spans="1:49" x14ac:dyDescent="0.3">
      <c r="AP125" t="str">
        <f t="shared" si="16"/>
        <v/>
      </c>
      <c r="AW125" t="s">
        <v>335</v>
      </c>
    </row>
    <row r="126" spans="1:49" x14ac:dyDescent="0.3">
      <c r="AP126" t="str">
        <f t="shared" si="16"/>
        <v/>
      </c>
      <c r="AW126" t="s">
        <v>336</v>
      </c>
    </row>
    <row r="127" spans="1:49" x14ac:dyDescent="0.3">
      <c r="AP127" t="str">
        <f t="shared" si="16"/>
        <v/>
      </c>
      <c r="AW127" t="s">
        <v>337</v>
      </c>
    </row>
    <row r="128" spans="1:49" x14ac:dyDescent="0.3">
      <c r="AP128" t="str">
        <f t="shared" si="16"/>
        <v/>
      </c>
      <c r="AW128" t="s">
        <v>338</v>
      </c>
    </row>
    <row r="129" spans="42:49" x14ac:dyDescent="0.3">
      <c r="AP129" t="str">
        <f t="shared" si="16"/>
        <v/>
      </c>
      <c r="AW129" t="s">
        <v>339</v>
      </c>
    </row>
    <row r="130" spans="42:49" x14ac:dyDescent="0.3">
      <c r="AP130" t="str">
        <f t="shared" si="16"/>
        <v/>
      </c>
      <c r="AW130" t="s">
        <v>340</v>
      </c>
    </row>
    <row r="131" spans="42:49" x14ac:dyDescent="0.3">
      <c r="AP131" t="str">
        <f t="shared" ref="AP131:AP194" si="18">IF($Y131="","",
SUM($Y131,$AI131,$AM131,$AJ131,$AL131,$AK131,$AN131,$AD131,$AF131,$AG131)-
IF($AO131="",0,VALUE($AO131)))</f>
        <v/>
      </c>
      <c r="AW131" t="s">
        <v>341</v>
      </c>
    </row>
    <row r="132" spans="42:49" x14ac:dyDescent="0.3">
      <c r="AP132" t="str">
        <f t="shared" si="18"/>
        <v/>
      </c>
      <c r="AW132" t="s">
        <v>342</v>
      </c>
    </row>
    <row r="133" spans="42:49" x14ac:dyDescent="0.3">
      <c r="AP133" t="str">
        <f t="shared" si="18"/>
        <v/>
      </c>
      <c r="AW133" t="s">
        <v>343</v>
      </c>
    </row>
    <row r="134" spans="42:49" x14ac:dyDescent="0.3">
      <c r="AP134" t="str">
        <f t="shared" si="18"/>
        <v/>
      </c>
      <c r="AW134" t="s">
        <v>344</v>
      </c>
    </row>
    <row r="135" spans="42:49" x14ac:dyDescent="0.3">
      <c r="AP135" t="str">
        <f t="shared" si="18"/>
        <v/>
      </c>
      <c r="AW135" t="s">
        <v>345</v>
      </c>
    </row>
    <row r="136" spans="42:49" x14ac:dyDescent="0.3">
      <c r="AP136" t="str">
        <f t="shared" si="18"/>
        <v/>
      </c>
      <c r="AW136" t="s">
        <v>346</v>
      </c>
    </row>
    <row r="137" spans="42:49" x14ac:dyDescent="0.3">
      <c r="AP137" t="str">
        <f t="shared" si="18"/>
        <v/>
      </c>
      <c r="AW137" t="s">
        <v>347</v>
      </c>
    </row>
    <row r="138" spans="42:49" x14ac:dyDescent="0.3">
      <c r="AP138" t="str">
        <f t="shared" si="18"/>
        <v/>
      </c>
      <c r="AW138" t="s">
        <v>348</v>
      </c>
    </row>
    <row r="139" spans="42:49" x14ac:dyDescent="0.3">
      <c r="AP139" t="str">
        <f t="shared" si="18"/>
        <v/>
      </c>
      <c r="AW139" t="s">
        <v>349</v>
      </c>
    </row>
    <row r="140" spans="42:49" x14ac:dyDescent="0.3">
      <c r="AP140" t="str">
        <f t="shared" si="18"/>
        <v/>
      </c>
      <c r="AW140" t="s">
        <v>350</v>
      </c>
    </row>
    <row r="141" spans="42:49" x14ac:dyDescent="0.3">
      <c r="AP141" t="str">
        <f t="shared" si="18"/>
        <v/>
      </c>
      <c r="AW141" t="s">
        <v>351</v>
      </c>
    </row>
    <row r="142" spans="42:49" x14ac:dyDescent="0.3">
      <c r="AP142" t="str">
        <f t="shared" si="18"/>
        <v/>
      </c>
      <c r="AW142" t="s">
        <v>352</v>
      </c>
    </row>
    <row r="143" spans="42:49" x14ac:dyDescent="0.3">
      <c r="AP143" t="str">
        <f t="shared" si="18"/>
        <v/>
      </c>
      <c r="AW143" t="s">
        <v>353</v>
      </c>
    </row>
    <row r="144" spans="42:49" x14ac:dyDescent="0.3">
      <c r="AP144" t="str">
        <f t="shared" si="18"/>
        <v/>
      </c>
      <c r="AW144" t="s">
        <v>354</v>
      </c>
    </row>
    <row r="145" spans="42:49" x14ac:dyDescent="0.3">
      <c r="AP145" t="str">
        <f t="shared" si="18"/>
        <v/>
      </c>
      <c r="AW145" t="s">
        <v>355</v>
      </c>
    </row>
    <row r="146" spans="42:49" x14ac:dyDescent="0.3">
      <c r="AP146" t="str">
        <f t="shared" si="18"/>
        <v/>
      </c>
      <c r="AW146" t="s">
        <v>356</v>
      </c>
    </row>
    <row r="147" spans="42:49" x14ac:dyDescent="0.3">
      <c r="AP147" t="str">
        <f t="shared" si="18"/>
        <v/>
      </c>
      <c r="AW147" t="s">
        <v>357</v>
      </c>
    </row>
    <row r="148" spans="42:49" x14ac:dyDescent="0.3">
      <c r="AP148" t="str">
        <f t="shared" si="18"/>
        <v/>
      </c>
      <c r="AW148" t="s">
        <v>358</v>
      </c>
    </row>
    <row r="149" spans="42:49" x14ac:dyDescent="0.3">
      <c r="AP149" t="str">
        <f t="shared" si="18"/>
        <v/>
      </c>
      <c r="AW149" t="s">
        <v>359</v>
      </c>
    </row>
    <row r="150" spans="42:49" x14ac:dyDescent="0.3">
      <c r="AP150" t="str">
        <f t="shared" si="18"/>
        <v/>
      </c>
      <c r="AW150" t="s">
        <v>360</v>
      </c>
    </row>
    <row r="151" spans="42:49" x14ac:dyDescent="0.3">
      <c r="AP151" t="str">
        <f t="shared" si="18"/>
        <v/>
      </c>
      <c r="AW151" t="s">
        <v>361</v>
      </c>
    </row>
    <row r="152" spans="42:49" x14ac:dyDescent="0.3">
      <c r="AP152" t="str">
        <f t="shared" si="18"/>
        <v/>
      </c>
      <c r="AW152" t="s">
        <v>362</v>
      </c>
    </row>
    <row r="153" spans="42:49" x14ac:dyDescent="0.3">
      <c r="AP153" t="str">
        <f t="shared" si="18"/>
        <v/>
      </c>
      <c r="AW153" t="s">
        <v>363</v>
      </c>
    </row>
    <row r="154" spans="42:49" x14ac:dyDescent="0.3">
      <c r="AP154" t="str">
        <f t="shared" si="18"/>
        <v/>
      </c>
      <c r="AW154" t="s">
        <v>364</v>
      </c>
    </row>
    <row r="155" spans="42:49" x14ac:dyDescent="0.3">
      <c r="AP155" t="str">
        <f t="shared" si="18"/>
        <v/>
      </c>
      <c r="AW155" t="s">
        <v>365</v>
      </c>
    </row>
    <row r="156" spans="42:49" x14ac:dyDescent="0.3">
      <c r="AP156" t="str">
        <f t="shared" si="18"/>
        <v/>
      </c>
      <c r="AW156" t="s">
        <v>366</v>
      </c>
    </row>
    <row r="157" spans="42:49" x14ac:dyDescent="0.3">
      <c r="AP157" t="str">
        <f t="shared" si="18"/>
        <v/>
      </c>
      <c r="AW157" t="s">
        <v>367</v>
      </c>
    </row>
    <row r="158" spans="42:49" x14ac:dyDescent="0.3">
      <c r="AP158" t="str">
        <f t="shared" si="18"/>
        <v/>
      </c>
      <c r="AW158" t="s">
        <v>368</v>
      </c>
    </row>
    <row r="159" spans="42:49" x14ac:dyDescent="0.3">
      <c r="AP159" t="str">
        <f t="shared" si="18"/>
        <v/>
      </c>
      <c r="AW159" t="s">
        <v>369</v>
      </c>
    </row>
    <row r="160" spans="42:49" x14ac:dyDescent="0.3">
      <c r="AP160" t="str">
        <f t="shared" si="18"/>
        <v/>
      </c>
      <c r="AW160" t="s">
        <v>370</v>
      </c>
    </row>
    <row r="161" spans="42:49" x14ac:dyDescent="0.3">
      <c r="AP161" t="str">
        <f t="shared" si="18"/>
        <v/>
      </c>
      <c r="AW161" t="s">
        <v>371</v>
      </c>
    </row>
    <row r="162" spans="42:49" x14ac:dyDescent="0.3">
      <c r="AP162" t="str">
        <f t="shared" si="18"/>
        <v/>
      </c>
      <c r="AW162" t="s">
        <v>372</v>
      </c>
    </row>
    <row r="163" spans="42:49" x14ac:dyDescent="0.3">
      <c r="AP163" t="str">
        <f t="shared" si="18"/>
        <v/>
      </c>
      <c r="AW163" t="s">
        <v>373</v>
      </c>
    </row>
    <row r="164" spans="42:49" x14ac:dyDescent="0.3">
      <c r="AP164" t="str">
        <f t="shared" si="18"/>
        <v/>
      </c>
      <c r="AW164" t="s">
        <v>374</v>
      </c>
    </row>
    <row r="165" spans="42:49" x14ac:dyDescent="0.3">
      <c r="AP165" t="str">
        <f t="shared" si="18"/>
        <v/>
      </c>
      <c r="AW165" t="s">
        <v>375</v>
      </c>
    </row>
    <row r="166" spans="42:49" x14ac:dyDescent="0.3">
      <c r="AP166" t="str">
        <f t="shared" si="18"/>
        <v/>
      </c>
      <c r="AW166" t="s">
        <v>376</v>
      </c>
    </row>
    <row r="167" spans="42:49" x14ac:dyDescent="0.3">
      <c r="AP167" t="str">
        <f t="shared" si="18"/>
        <v/>
      </c>
      <c r="AW167" t="s">
        <v>377</v>
      </c>
    </row>
    <row r="168" spans="42:49" x14ac:dyDescent="0.3">
      <c r="AP168" t="str">
        <f t="shared" si="18"/>
        <v/>
      </c>
      <c r="AW168" t="s">
        <v>378</v>
      </c>
    </row>
    <row r="169" spans="42:49" x14ac:dyDescent="0.3">
      <c r="AP169" t="str">
        <f t="shared" si="18"/>
        <v/>
      </c>
      <c r="AW169" t="s">
        <v>379</v>
      </c>
    </row>
    <row r="170" spans="42:49" x14ac:dyDescent="0.3">
      <c r="AP170" t="str">
        <f t="shared" si="18"/>
        <v/>
      </c>
      <c r="AW170" t="s">
        <v>380</v>
      </c>
    </row>
    <row r="171" spans="42:49" x14ac:dyDescent="0.3">
      <c r="AP171" t="str">
        <f t="shared" si="18"/>
        <v/>
      </c>
      <c r="AW171" t="s">
        <v>381</v>
      </c>
    </row>
    <row r="172" spans="42:49" x14ac:dyDescent="0.3">
      <c r="AP172" t="str">
        <f t="shared" si="18"/>
        <v/>
      </c>
      <c r="AW172" t="s">
        <v>382</v>
      </c>
    </row>
    <row r="173" spans="42:49" x14ac:dyDescent="0.3">
      <c r="AP173" t="str">
        <f t="shared" si="18"/>
        <v/>
      </c>
      <c r="AW173" t="s">
        <v>383</v>
      </c>
    </row>
    <row r="174" spans="42:49" x14ac:dyDescent="0.3">
      <c r="AP174" t="str">
        <f t="shared" si="18"/>
        <v/>
      </c>
      <c r="AW174" t="s">
        <v>384</v>
      </c>
    </row>
    <row r="175" spans="42:49" x14ac:dyDescent="0.3">
      <c r="AP175" t="str">
        <f t="shared" si="18"/>
        <v/>
      </c>
      <c r="AW175" t="s">
        <v>385</v>
      </c>
    </row>
    <row r="176" spans="42:49" x14ac:dyDescent="0.3">
      <c r="AP176" t="str">
        <f t="shared" si="18"/>
        <v/>
      </c>
      <c r="AW176" t="s">
        <v>386</v>
      </c>
    </row>
    <row r="177" spans="42:49" x14ac:dyDescent="0.3">
      <c r="AP177" t="str">
        <f t="shared" si="18"/>
        <v/>
      </c>
      <c r="AW177" t="s">
        <v>387</v>
      </c>
    </row>
    <row r="178" spans="42:49" x14ac:dyDescent="0.3">
      <c r="AP178" t="str">
        <f t="shared" si="18"/>
        <v/>
      </c>
      <c r="AW178" t="s">
        <v>388</v>
      </c>
    </row>
    <row r="179" spans="42:49" x14ac:dyDescent="0.3">
      <c r="AP179" t="str">
        <f t="shared" si="18"/>
        <v/>
      </c>
      <c r="AW179" t="s">
        <v>389</v>
      </c>
    </row>
    <row r="180" spans="42:49" x14ac:dyDescent="0.3">
      <c r="AP180" t="str">
        <f t="shared" si="18"/>
        <v/>
      </c>
      <c r="AW180" t="s">
        <v>390</v>
      </c>
    </row>
    <row r="181" spans="42:49" x14ac:dyDescent="0.3">
      <c r="AP181" t="str">
        <f t="shared" si="18"/>
        <v/>
      </c>
      <c r="AW181" t="s">
        <v>391</v>
      </c>
    </row>
    <row r="182" spans="42:49" x14ac:dyDescent="0.3">
      <c r="AP182" t="str">
        <f t="shared" si="18"/>
        <v/>
      </c>
      <c r="AW182" t="s">
        <v>392</v>
      </c>
    </row>
    <row r="183" spans="42:49" x14ac:dyDescent="0.3">
      <c r="AP183" t="str">
        <f t="shared" si="18"/>
        <v/>
      </c>
      <c r="AW183" t="s">
        <v>393</v>
      </c>
    </row>
    <row r="184" spans="42:49" x14ac:dyDescent="0.3">
      <c r="AP184" t="str">
        <f t="shared" si="18"/>
        <v/>
      </c>
      <c r="AW184" t="s">
        <v>394</v>
      </c>
    </row>
    <row r="185" spans="42:49" x14ac:dyDescent="0.3">
      <c r="AP185" t="str">
        <f t="shared" si="18"/>
        <v/>
      </c>
      <c r="AW185" t="s">
        <v>395</v>
      </c>
    </row>
    <row r="186" spans="42:49" x14ac:dyDescent="0.3">
      <c r="AP186" t="str">
        <f t="shared" si="18"/>
        <v/>
      </c>
      <c r="AW186" t="s">
        <v>396</v>
      </c>
    </row>
    <row r="187" spans="42:49" x14ac:dyDescent="0.3">
      <c r="AP187" t="str">
        <f t="shared" si="18"/>
        <v/>
      </c>
      <c r="AW187" t="s">
        <v>397</v>
      </c>
    </row>
    <row r="188" spans="42:49" x14ac:dyDescent="0.3">
      <c r="AP188" t="str">
        <f t="shared" si="18"/>
        <v/>
      </c>
      <c r="AW188" t="s">
        <v>398</v>
      </c>
    </row>
    <row r="189" spans="42:49" x14ac:dyDescent="0.3">
      <c r="AP189" t="str">
        <f t="shared" si="18"/>
        <v/>
      </c>
      <c r="AW189" t="s">
        <v>399</v>
      </c>
    </row>
    <row r="190" spans="42:49" x14ac:dyDescent="0.3">
      <c r="AP190" t="str">
        <f t="shared" si="18"/>
        <v/>
      </c>
      <c r="AW190" t="s">
        <v>400</v>
      </c>
    </row>
    <row r="191" spans="42:49" x14ac:dyDescent="0.3">
      <c r="AP191" t="str">
        <f t="shared" si="18"/>
        <v/>
      </c>
      <c r="AW191" t="s">
        <v>401</v>
      </c>
    </row>
    <row r="192" spans="42:49" x14ac:dyDescent="0.3">
      <c r="AP192" t="str">
        <f t="shared" si="18"/>
        <v/>
      </c>
      <c r="AW192" t="s">
        <v>402</v>
      </c>
    </row>
    <row r="193" spans="42:49" x14ac:dyDescent="0.3">
      <c r="AP193" t="str">
        <f t="shared" si="18"/>
        <v/>
      </c>
      <c r="AW193" t="s">
        <v>403</v>
      </c>
    </row>
    <row r="194" spans="42:49" x14ac:dyDescent="0.3">
      <c r="AP194" t="str">
        <f t="shared" si="18"/>
        <v/>
      </c>
      <c r="AW194" t="s">
        <v>404</v>
      </c>
    </row>
    <row r="195" spans="42:49" x14ac:dyDescent="0.3">
      <c r="AP195" t="str">
        <f t="shared" ref="AP195:AP258" si="19">IF($Y195="","",
SUM($Y195,$AI195,$AM195,$AJ195,$AL195,$AK195,$AN195,$AD195,$AF195,$AG195)-
IF($AO195="",0,VALUE($AO195)))</f>
        <v/>
      </c>
      <c r="AW195" t="s">
        <v>405</v>
      </c>
    </row>
    <row r="196" spans="42:49" x14ac:dyDescent="0.3">
      <c r="AP196" t="str">
        <f t="shared" si="19"/>
        <v/>
      </c>
      <c r="AW196" t="s">
        <v>406</v>
      </c>
    </row>
    <row r="197" spans="42:49" x14ac:dyDescent="0.3">
      <c r="AP197" t="str">
        <f t="shared" si="19"/>
        <v/>
      </c>
      <c r="AW197" t="s">
        <v>407</v>
      </c>
    </row>
    <row r="198" spans="42:49" x14ac:dyDescent="0.3">
      <c r="AP198" t="str">
        <f t="shared" si="19"/>
        <v/>
      </c>
      <c r="AW198" t="s">
        <v>408</v>
      </c>
    </row>
    <row r="199" spans="42:49" x14ac:dyDescent="0.3">
      <c r="AP199" t="str">
        <f t="shared" si="19"/>
        <v/>
      </c>
      <c r="AW199" t="s">
        <v>409</v>
      </c>
    </row>
    <row r="200" spans="42:49" x14ac:dyDescent="0.3">
      <c r="AP200" t="str">
        <f t="shared" si="19"/>
        <v/>
      </c>
      <c r="AW200" t="s">
        <v>410</v>
      </c>
    </row>
    <row r="201" spans="42:49" x14ac:dyDescent="0.3">
      <c r="AP201" t="str">
        <f t="shared" si="19"/>
        <v/>
      </c>
      <c r="AW201" t="s">
        <v>411</v>
      </c>
    </row>
    <row r="202" spans="42:49" x14ac:dyDescent="0.3">
      <c r="AP202" t="str">
        <f t="shared" si="19"/>
        <v/>
      </c>
      <c r="AW202" t="s">
        <v>412</v>
      </c>
    </row>
    <row r="203" spans="42:49" x14ac:dyDescent="0.3">
      <c r="AP203" t="str">
        <f t="shared" si="19"/>
        <v/>
      </c>
      <c r="AW203" t="s">
        <v>413</v>
      </c>
    </row>
    <row r="204" spans="42:49" x14ac:dyDescent="0.3">
      <c r="AP204" t="str">
        <f t="shared" si="19"/>
        <v/>
      </c>
      <c r="AW204" t="s">
        <v>414</v>
      </c>
    </row>
    <row r="205" spans="42:49" x14ac:dyDescent="0.3">
      <c r="AP205" t="str">
        <f t="shared" si="19"/>
        <v/>
      </c>
      <c r="AW205" t="s">
        <v>415</v>
      </c>
    </row>
    <row r="206" spans="42:49" x14ac:dyDescent="0.3">
      <c r="AP206" t="str">
        <f t="shared" si="19"/>
        <v/>
      </c>
      <c r="AW206" t="s">
        <v>416</v>
      </c>
    </row>
    <row r="207" spans="42:49" x14ac:dyDescent="0.3">
      <c r="AP207" t="str">
        <f t="shared" si="19"/>
        <v/>
      </c>
      <c r="AW207" t="s">
        <v>417</v>
      </c>
    </row>
    <row r="208" spans="42:49" x14ac:dyDescent="0.3">
      <c r="AP208" t="str">
        <f t="shared" si="19"/>
        <v/>
      </c>
      <c r="AW208" t="s">
        <v>418</v>
      </c>
    </row>
    <row r="209" spans="42:49" x14ac:dyDescent="0.3">
      <c r="AP209" t="str">
        <f t="shared" si="19"/>
        <v/>
      </c>
      <c r="AW209" t="s">
        <v>419</v>
      </c>
    </row>
    <row r="210" spans="42:49" x14ac:dyDescent="0.3">
      <c r="AP210" t="str">
        <f t="shared" si="19"/>
        <v/>
      </c>
      <c r="AW210" t="s">
        <v>420</v>
      </c>
    </row>
    <row r="211" spans="42:49" x14ac:dyDescent="0.3">
      <c r="AP211" t="str">
        <f t="shared" si="19"/>
        <v/>
      </c>
      <c r="AW211" t="s">
        <v>421</v>
      </c>
    </row>
    <row r="212" spans="42:49" x14ac:dyDescent="0.3">
      <c r="AP212" t="str">
        <f t="shared" si="19"/>
        <v/>
      </c>
      <c r="AW212" t="s">
        <v>422</v>
      </c>
    </row>
    <row r="213" spans="42:49" x14ac:dyDescent="0.3">
      <c r="AP213" t="str">
        <f t="shared" si="19"/>
        <v/>
      </c>
      <c r="AW213" t="s">
        <v>423</v>
      </c>
    </row>
    <row r="214" spans="42:49" x14ac:dyDescent="0.3">
      <c r="AP214" t="str">
        <f t="shared" si="19"/>
        <v/>
      </c>
      <c r="AW214" t="s">
        <v>424</v>
      </c>
    </row>
    <row r="215" spans="42:49" x14ac:dyDescent="0.3">
      <c r="AP215" t="str">
        <f t="shared" si="19"/>
        <v/>
      </c>
      <c r="AW215" t="s">
        <v>425</v>
      </c>
    </row>
    <row r="216" spans="42:49" x14ac:dyDescent="0.3">
      <c r="AP216" t="str">
        <f t="shared" si="19"/>
        <v/>
      </c>
      <c r="AW216" t="s">
        <v>426</v>
      </c>
    </row>
    <row r="217" spans="42:49" x14ac:dyDescent="0.3">
      <c r="AP217" t="str">
        <f t="shared" si="19"/>
        <v/>
      </c>
      <c r="AW217" t="s">
        <v>427</v>
      </c>
    </row>
    <row r="218" spans="42:49" x14ac:dyDescent="0.3">
      <c r="AP218" t="str">
        <f t="shared" si="19"/>
        <v/>
      </c>
      <c r="AW218" t="s">
        <v>428</v>
      </c>
    </row>
    <row r="219" spans="42:49" x14ac:dyDescent="0.3">
      <c r="AP219" t="str">
        <f t="shared" si="19"/>
        <v/>
      </c>
      <c r="AW219" t="s">
        <v>429</v>
      </c>
    </row>
    <row r="220" spans="42:49" x14ac:dyDescent="0.3">
      <c r="AP220" t="str">
        <f t="shared" si="19"/>
        <v/>
      </c>
      <c r="AW220" t="s">
        <v>430</v>
      </c>
    </row>
    <row r="221" spans="42:49" x14ac:dyDescent="0.3">
      <c r="AP221" t="str">
        <f t="shared" si="19"/>
        <v/>
      </c>
      <c r="AW221" t="s">
        <v>431</v>
      </c>
    </row>
    <row r="222" spans="42:49" x14ac:dyDescent="0.3">
      <c r="AP222" t="str">
        <f t="shared" si="19"/>
        <v/>
      </c>
      <c r="AW222" t="s">
        <v>432</v>
      </c>
    </row>
    <row r="223" spans="42:49" x14ac:dyDescent="0.3">
      <c r="AP223" t="str">
        <f t="shared" si="19"/>
        <v/>
      </c>
      <c r="AW223" t="s">
        <v>433</v>
      </c>
    </row>
    <row r="224" spans="42:49" x14ac:dyDescent="0.3">
      <c r="AP224" t="str">
        <f t="shared" si="19"/>
        <v/>
      </c>
      <c r="AW224" t="s">
        <v>434</v>
      </c>
    </row>
    <row r="225" spans="42:49" x14ac:dyDescent="0.3">
      <c r="AP225" t="str">
        <f t="shared" si="19"/>
        <v/>
      </c>
      <c r="AW225" t="s">
        <v>435</v>
      </c>
    </row>
    <row r="226" spans="42:49" x14ac:dyDescent="0.3">
      <c r="AP226" t="str">
        <f t="shared" si="19"/>
        <v/>
      </c>
      <c r="AW226" t="s">
        <v>436</v>
      </c>
    </row>
    <row r="227" spans="42:49" x14ac:dyDescent="0.3">
      <c r="AP227" t="str">
        <f t="shared" si="19"/>
        <v/>
      </c>
      <c r="AW227" t="s">
        <v>437</v>
      </c>
    </row>
    <row r="228" spans="42:49" x14ac:dyDescent="0.3">
      <c r="AP228" t="str">
        <f t="shared" si="19"/>
        <v/>
      </c>
      <c r="AW228" t="s">
        <v>438</v>
      </c>
    </row>
    <row r="229" spans="42:49" x14ac:dyDescent="0.3">
      <c r="AP229" t="str">
        <f t="shared" si="19"/>
        <v/>
      </c>
      <c r="AW229" t="s">
        <v>439</v>
      </c>
    </row>
    <row r="230" spans="42:49" x14ac:dyDescent="0.3">
      <c r="AP230" t="str">
        <f t="shared" si="19"/>
        <v/>
      </c>
      <c r="AW230" t="s">
        <v>440</v>
      </c>
    </row>
    <row r="231" spans="42:49" x14ac:dyDescent="0.3">
      <c r="AP231" t="str">
        <f t="shared" si="19"/>
        <v/>
      </c>
      <c r="AW231" t="s">
        <v>441</v>
      </c>
    </row>
    <row r="232" spans="42:49" x14ac:dyDescent="0.3">
      <c r="AP232" t="str">
        <f t="shared" si="19"/>
        <v/>
      </c>
      <c r="AW232" t="s">
        <v>442</v>
      </c>
    </row>
    <row r="233" spans="42:49" x14ac:dyDescent="0.3">
      <c r="AP233" t="str">
        <f t="shared" si="19"/>
        <v/>
      </c>
      <c r="AW233" t="s">
        <v>443</v>
      </c>
    </row>
    <row r="234" spans="42:49" x14ac:dyDescent="0.3">
      <c r="AP234" t="str">
        <f t="shared" si="19"/>
        <v/>
      </c>
      <c r="AW234" t="s">
        <v>444</v>
      </c>
    </row>
    <row r="235" spans="42:49" x14ac:dyDescent="0.3">
      <c r="AP235" t="str">
        <f t="shared" si="19"/>
        <v/>
      </c>
      <c r="AW235" t="s">
        <v>445</v>
      </c>
    </row>
    <row r="236" spans="42:49" x14ac:dyDescent="0.3">
      <c r="AP236" t="str">
        <f t="shared" si="19"/>
        <v/>
      </c>
      <c r="AW236" t="s">
        <v>446</v>
      </c>
    </row>
    <row r="237" spans="42:49" x14ac:dyDescent="0.3">
      <c r="AP237" t="str">
        <f t="shared" si="19"/>
        <v/>
      </c>
      <c r="AW237" t="s">
        <v>447</v>
      </c>
    </row>
    <row r="238" spans="42:49" x14ac:dyDescent="0.3">
      <c r="AP238" t="str">
        <f t="shared" si="19"/>
        <v/>
      </c>
      <c r="AW238" t="s">
        <v>448</v>
      </c>
    </row>
    <row r="239" spans="42:49" x14ac:dyDescent="0.3">
      <c r="AP239" t="str">
        <f t="shared" si="19"/>
        <v/>
      </c>
      <c r="AW239" t="s">
        <v>449</v>
      </c>
    </row>
    <row r="240" spans="42:49" x14ac:dyDescent="0.3">
      <c r="AP240" t="str">
        <f t="shared" si="19"/>
        <v/>
      </c>
      <c r="AW240" t="s">
        <v>450</v>
      </c>
    </row>
    <row r="241" spans="42:49" x14ac:dyDescent="0.3">
      <c r="AP241" t="str">
        <f t="shared" si="19"/>
        <v/>
      </c>
      <c r="AW241" t="s">
        <v>451</v>
      </c>
    </row>
    <row r="242" spans="42:49" x14ac:dyDescent="0.3">
      <c r="AP242" t="str">
        <f t="shared" si="19"/>
        <v/>
      </c>
      <c r="AW242" t="s">
        <v>452</v>
      </c>
    </row>
    <row r="243" spans="42:49" x14ac:dyDescent="0.3">
      <c r="AP243" t="str">
        <f t="shared" si="19"/>
        <v/>
      </c>
      <c r="AW243" t="s">
        <v>453</v>
      </c>
    </row>
    <row r="244" spans="42:49" x14ac:dyDescent="0.3">
      <c r="AP244" t="str">
        <f t="shared" si="19"/>
        <v/>
      </c>
      <c r="AW244" t="s">
        <v>454</v>
      </c>
    </row>
    <row r="245" spans="42:49" x14ac:dyDescent="0.3">
      <c r="AP245" t="str">
        <f t="shared" si="19"/>
        <v/>
      </c>
      <c r="AW245" t="s">
        <v>455</v>
      </c>
    </row>
    <row r="246" spans="42:49" x14ac:dyDescent="0.3">
      <c r="AP246" t="str">
        <f t="shared" si="19"/>
        <v/>
      </c>
      <c r="AW246" t="s">
        <v>456</v>
      </c>
    </row>
    <row r="247" spans="42:49" x14ac:dyDescent="0.3">
      <c r="AP247" t="str">
        <f t="shared" si="19"/>
        <v/>
      </c>
      <c r="AW247" t="s">
        <v>457</v>
      </c>
    </row>
    <row r="248" spans="42:49" x14ac:dyDescent="0.3">
      <c r="AP248" t="str">
        <f t="shared" si="19"/>
        <v/>
      </c>
      <c r="AW248" t="s">
        <v>458</v>
      </c>
    </row>
    <row r="249" spans="42:49" x14ac:dyDescent="0.3">
      <c r="AP249" t="str">
        <f t="shared" si="19"/>
        <v/>
      </c>
      <c r="AW249" t="s">
        <v>459</v>
      </c>
    </row>
    <row r="250" spans="42:49" x14ac:dyDescent="0.3">
      <c r="AP250" t="str">
        <f t="shared" si="19"/>
        <v/>
      </c>
      <c r="AW250" t="s">
        <v>460</v>
      </c>
    </row>
    <row r="251" spans="42:49" x14ac:dyDescent="0.3">
      <c r="AP251" t="str">
        <f t="shared" si="19"/>
        <v/>
      </c>
      <c r="AW251" t="s">
        <v>461</v>
      </c>
    </row>
    <row r="252" spans="42:49" x14ac:dyDescent="0.3">
      <c r="AP252" t="str">
        <f t="shared" si="19"/>
        <v/>
      </c>
      <c r="AW252" t="s">
        <v>462</v>
      </c>
    </row>
    <row r="253" spans="42:49" x14ac:dyDescent="0.3">
      <c r="AP253" t="str">
        <f t="shared" si="19"/>
        <v/>
      </c>
      <c r="AW253" t="s">
        <v>463</v>
      </c>
    </row>
    <row r="254" spans="42:49" x14ac:dyDescent="0.3">
      <c r="AP254" t="str">
        <f t="shared" si="19"/>
        <v/>
      </c>
      <c r="AW254" t="s">
        <v>464</v>
      </c>
    </row>
    <row r="255" spans="42:49" x14ac:dyDescent="0.3">
      <c r="AP255" t="str">
        <f t="shared" si="19"/>
        <v/>
      </c>
      <c r="AW255" t="s">
        <v>465</v>
      </c>
    </row>
    <row r="256" spans="42:49" x14ac:dyDescent="0.3">
      <c r="AP256" t="str">
        <f t="shared" si="19"/>
        <v/>
      </c>
      <c r="AW256" t="s">
        <v>466</v>
      </c>
    </row>
    <row r="257" spans="42:49" x14ac:dyDescent="0.3">
      <c r="AP257" t="str">
        <f t="shared" si="19"/>
        <v/>
      </c>
      <c r="AW257" t="s">
        <v>467</v>
      </c>
    </row>
    <row r="258" spans="42:49" x14ac:dyDescent="0.3">
      <c r="AP258" t="str">
        <f t="shared" si="19"/>
        <v/>
      </c>
      <c r="AW258" t="s">
        <v>468</v>
      </c>
    </row>
    <row r="259" spans="42:49" x14ac:dyDescent="0.3">
      <c r="AP259" t="str">
        <f t="shared" ref="AP259:AP322" si="20">IF($Y259="","",
SUM($Y259,$AI259,$AM259,$AJ259,$AL259,$AK259,$AN259,$AD259,$AF259,$AG259)-
IF($AO259="",0,VALUE($AO259)))</f>
        <v/>
      </c>
      <c r="AW259" t="s">
        <v>469</v>
      </c>
    </row>
    <row r="260" spans="42:49" x14ac:dyDescent="0.3">
      <c r="AP260" t="str">
        <f t="shared" si="20"/>
        <v/>
      </c>
      <c r="AW260" t="s">
        <v>470</v>
      </c>
    </row>
    <row r="261" spans="42:49" x14ac:dyDescent="0.3">
      <c r="AP261" t="str">
        <f t="shared" si="20"/>
        <v/>
      </c>
      <c r="AW261" t="s">
        <v>471</v>
      </c>
    </row>
    <row r="262" spans="42:49" x14ac:dyDescent="0.3">
      <c r="AP262" t="str">
        <f t="shared" si="20"/>
        <v/>
      </c>
      <c r="AW262" t="s">
        <v>472</v>
      </c>
    </row>
    <row r="263" spans="42:49" x14ac:dyDescent="0.3">
      <c r="AP263" t="str">
        <f t="shared" si="20"/>
        <v/>
      </c>
      <c r="AW263" t="s">
        <v>473</v>
      </c>
    </row>
    <row r="264" spans="42:49" x14ac:dyDescent="0.3">
      <c r="AP264" t="str">
        <f t="shared" si="20"/>
        <v/>
      </c>
      <c r="AW264" t="s">
        <v>474</v>
      </c>
    </row>
    <row r="265" spans="42:49" x14ac:dyDescent="0.3">
      <c r="AP265" t="str">
        <f t="shared" si="20"/>
        <v/>
      </c>
      <c r="AW265" t="s">
        <v>475</v>
      </c>
    </row>
    <row r="266" spans="42:49" x14ac:dyDescent="0.3">
      <c r="AP266" t="str">
        <f t="shared" si="20"/>
        <v/>
      </c>
      <c r="AW266" t="s">
        <v>476</v>
      </c>
    </row>
    <row r="267" spans="42:49" x14ac:dyDescent="0.3">
      <c r="AP267" t="str">
        <f t="shared" si="20"/>
        <v/>
      </c>
      <c r="AW267" t="s">
        <v>477</v>
      </c>
    </row>
    <row r="268" spans="42:49" x14ac:dyDescent="0.3">
      <c r="AP268" t="str">
        <f t="shared" si="20"/>
        <v/>
      </c>
      <c r="AW268" t="s">
        <v>478</v>
      </c>
    </row>
    <row r="269" spans="42:49" x14ac:dyDescent="0.3">
      <c r="AP269" t="str">
        <f t="shared" si="20"/>
        <v/>
      </c>
      <c r="AW269" t="s">
        <v>479</v>
      </c>
    </row>
    <row r="270" spans="42:49" x14ac:dyDescent="0.3">
      <c r="AP270" t="str">
        <f t="shared" si="20"/>
        <v/>
      </c>
      <c r="AW270" t="s">
        <v>480</v>
      </c>
    </row>
    <row r="271" spans="42:49" x14ac:dyDescent="0.3">
      <c r="AP271" t="str">
        <f t="shared" si="20"/>
        <v/>
      </c>
      <c r="AW271" t="s">
        <v>481</v>
      </c>
    </row>
    <row r="272" spans="42:49" x14ac:dyDescent="0.3">
      <c r="AP272" t="str">
        <f t="shared" si="20"/>
        <v/>
      </c>
      <c r="AW272" t="s">
        <v>482</v>
      </c>
    </row>
    <row r="273" spans="42:49" x14ac:dyDescent="0.3">
      <c r="AP273" t="str">
        <f t="shared" si="20"/>
        <v/>
      </c>
      <c r="AW273" t="s">
        <v>483</v>
      </c>
    </row>
    <row r="274" spans="42:49" x14ac:dyDescent="0.3">
      <c r="AP274" t="str">
        <f t="shared" si="20"/>
        <v/>
      </c>
      <c r="AW274" t="s">
        <v>484</v>
      </c>
    </row>
    <row r="275" spans="42:49" x14ac:dyDescent="0.3">
      <c r="AP275" t="str">
        <f t="shared" si="20"/>
        <v/>
      </c>
      <c r="AW275" t="s">
        <v>485</v>
      </c>
    </row>
    <row r="276" spans="42:49" x14ac:dyDescent="0.3">
      <c r="AP276" t="str">
        <f t="shared" si="20"/>
        <v/>
      </c>
      <c r="AW276" t="s">
        <v>486</v>
      </c>
    </row>
    <row r="277" spans="42:49" x14ac:dyDescent="0.3">
      <c r="AP277" t="str">
        <f t="shared" si="20"/>
        <v/>
      </c>
      <c r="AW277" t="s">
        <v>487</v>
      </c>
    </row>
    <row r="278" spans="42:49" x14ac:dyDescent="0.3">
      <c r="AP278" t="str">
        <f t="shared" si="20"/>
        <v/>
      </c>
      <c r="AW278" t="s">
        <v>488</v>
      </c>
    </row>
    <row r="279" spans="42:49" x14ac:dyDescent="0.3">
      <c r="AP279" t="str">
        <f t="shared" si="20"/>
        <v/>
      </c>
      <c r="AW279" t="s">
        <v>489</v>
      </c>
    </row>
    <row r="280" spans="42:49" x14ac:dyDescent="0.3">
      <c r="AP280" t="str">
        <f t="shared" si="20"/>
        <v/>
      </c>
      <c r="AW280" t="s">
        <v>490</v>
      </c>
    </row>
    <row r="281" spans="42:49" x14ac:dyDescent="0.3">
      <c r="AP281" t="str">
        <f t="shared" si="20"/>
        <v/>
      </c>
      <c r="AW281" t="s">
        <v>491</v>
      </c>
    </row>
    <row r="282" spans="42:49" x14ac:dyDescent="0.3">
      <c r="AP282" t="str">
        <f t="shared" si="20"/>
        <v/>
      </c>
      <c r="AW282" t="s">
        <v>492</v>
      </c>
    </row>
    <row r="283" spans="42:49" x14ac:dyDescent="0.3">
      <c r="AP283" t="str">
        <f t="shared" si="20"/>
        <v/>
      </c>
      <c r="AW283" t="s">
        <v>493</v>
      </c>
    </row>
    <row r="284" spans="42:49" x14ac:dyDescent="0.3">
      <c r="AP284" t="str">
        <f t="shared" si="20"/>
        <v/>
      </c>
      <c r="AW284" t="s">
        <v>494</v>
      </c>
    </row>
    <row r="285" spans="42:49" x14ac:dyDescent="0.3">
      <c r="AP285" t="str">
        <f t="shared" si="20"/>
        <v/>
      </c>
      <c r="AW285" t="s">
        <v>495</v>
      </c>
    </row>
    <row r="286" spans="42:49" x14ac:dyDescent="0.3">
      <c r="AP286" t="str">
        <f t="shared" si="20"/>
        <v/>
      </c>
      <c r="AW286" t="s">
        <v>496</v>
      </c>
    </row>
    <row r="287" spans="42:49" x14ac:dyDescent="0.3">
      <c r="AP287" t="str">
        <f t="shared" si="20"/>
        <v/>
      </c>
      <c r="AW287" t="s">
        <v>497</v>
      </c>
    </row>
    <row r="288" spans="42:49" x14ac:dyDescent="0.3">
      <c r="AP288" t="str">
        <f t="shared" si="20"/>
        <v/>
      </c>
      <c r="AW288" t="s">
        <v>498</v>
      </c>
    </row>
    <row r="289" spans="42:49" x14ac:dyDescent="0.3">
      <c r="AP289" t="str">
        <f t="shared" si="20"/>
        <v/>
      </c>
      <c r="AW289" t="s">
        <v>499</v>
      </c>
    </row>
    <row r="290" spans="42:49" x14ac:dyDescent="0.3">
      <c r="AP290" t="str">
        <f t="shared" si="20"/>
        <v/>
      </c>
      <c r="AW290" t="s">
        <v>500</v>
      </c>
    </row>
    <row r="291" spans="42:49" x14ac:dyDescent="0.3">
      <c r="AP291" t="str">
        <f t="shared" si="20"/>
        <v/>
      </c>
      <c r="AW291" t="s">
        <v>501</v>
      </c>
    </row>
    <row r="292" spans="42:49" x14ac:dyDescent="0.3">
      <c r="AP292" t="str">
        <f t="shared" si="20"/>
        <v/>
      </c>
      <c r="AW292" t="s">
        <v>502</v>
      </c>
    </row>
    <row r="293" spans="42:49" x14ac:dyDescent="0.3">
      <c r="AP293" t="str">
        <f t="shared" si="20"/>
        <v/>
      </c>
      <c r="AW293" t="s">
        <v>503</v>
      </c>
    </row>
    <row r="294" spans="42:49" x14ac:dyDescent="0.3">
      <c r="AP294" t="str">
        <f t="shared" si="20"/>
        <v/>
      </c>
      <c r="AW294" t="s">
        <v>504</v>
      </c>
    </row>
    <row r="295" spans="42:49" x14ac:dyDescent="0.3">
      <c r="AP295" t="str">
        <f t="shared" si="20"/>
        <v/>
      </c>
      <c r="AW295" t="s">
        <v>505</v>
      </c>
    </row>
    <row r="296" spans="42:49" x14ac:dyDescent="0.3">
      <c r="AP296" t="str">
        <f t="shared" si="20"/>
        <v/>
      </c>
      <c r="AW296" t="s">
        <v>506</v>
      </c>
    </row>
    <row r="297" spans="42:49" x14ac:dyDescent="0.3">
      <c r="AP297" t="str">
        <f t="shared" si="20"/>
        <v/>
      </c>
      <c r="AW297" t="s">
        <v>507</v>
      </c>
    </row>
    <row r="298" spans="42:49" x14ac:dyDescent="0.3">
      <c r="AP298" t="str">
        <f t="shared" si="20"/>
        <v/>
      </c>
      <c r="AW298" t="s">
        <v>508</v>
      </c>
    </row>
    <row r="299" spans="42:49" x14ac:dyDescent="0.3">
      <c r="AP299" t="str">
        <f t="shared" si="20"/>
        <v/>
      </c>
      <c r="AW299" t="s">
        <v>509</v>
      </c>
    </row>
    <row r="300" spans="42:49" x14ac:dyDescent="0.3">
      <c r="AP300" t="str">
        <f t="shared" si="20"/>
        <v/>
      </c>
      <c r="AW300" t="s">
        <v>510</v>
      </c>
    </row>
    <row r="301" spans="42:49" x14ac:dyDescent="0.3">
      <c r="AP301" t="str">
        <f t="shared" si="20"/>
        <v/>
      </c>
      <c r="AW301" t="s">
        <v>511</v>
      </c>
    </row>
    <row r="302" spans="42:49" x14ac:dyDescent="0.3">
      <c r="AP302" t="str">
        <f t="shared" si="20"/>
        <v/>
      </c>
      <c r="AW302" t="s">
        <v>512</v>
      </c>
    </row>
    <row r="303" spans="42:49" x14ac:dyDescent="0.3">
      <c r="AP303" t="str">
        <f t="shared" si="20"/>
        <v/>
      </c>
      <c r="AW303" t="s">
        <v>513</v>
      </c>
    </row>
    <row r="304" spans="42:49" x14ac:dyDescent="0.3">
      <c r="AP304" t="str">
        <f t="shared" si="20"/>
        <v/>
      </c>
      <c r="AW304" t="s">
        <v>514</v>
      </c>
    </row>
    <row r="305" spans="42:49" x14ac:dyDescent="0.3">
      <c r="AP305" t="str">
        <f t="shared" si="20"/>
        <v/>
      </c>
      <c r="AW305" t="s">
        <v>515</v>
      </c>
    </row>
    <row r="306" spans="42:49" x14ac:dyDescent="0.3">
      <c r="AP306" t="str">
        <f t="shared" si="20"/>
        <v/>
      </c>
      <c r="AW306" t="s">
        <v>516</v>
      </c>
    </row>
    <row r="307" spans="42:49" x14ac:dyDescent="0.3">
      <c r="AP307" t="str">
        <f t="shared" si="20"/>
        <v/>
      </c>
      <c r="AW307" t="s">
        <v>517</v>
      </c>
    </row>
    <row r="308" spans="42:49" x14ac:dyDescent="0.3">
      <c r="AP308" t="str">
        <f t="shared" si="20"/>
        <v/>
      </c>
      <c r="AW308" t="s">
        <v>518</v>
      </c>
    </row>
    <row r="309" spans="42:49" x14ac:dyDescent="0.3">
      <c r="AP309" t="str">
        <f t="shared" si="20"/>
        <v/>
      </c>
      <c r="AW309" t="s">
        <v>519</v>
      </c>
    </row>
    <row r="310" spans="42:49" x14ac:dyDescent="0.3">
      <c r="AP310" t="str">
        <f t="shared" si="20"/>
        <v/>
      </c>
      <c r="AW310" t="s">
        <v>520</v>
      </c>
    </row>
    <row r="311" spans="42:49" x14ac:dyDescent="0.3">
      <c r="AP311" t="str">
        <f t="shared" si="20"/>
        <v/>
      </c>
      <c r="AW311" t="s">
        <v>521</v>
      </c>
    </row>
    <row r="312" spans="42:49" x14ac:dyDescent="0.3">
      <c r="AP312" t="str">
        <f t="shared" si="20"/>
        <v/>
      </c>
      <c r="AW312" t="s">
        <v>522</v>
      </c>
    </row>
    <row r="313" spans="42:49" x14ac:dyDescent="0.3">
      <c r="AP313" t="str">
        <f t="shared" si="20"/>
        <v/>
      </c>
      <c r="AW313" t="s">
        <v>523</v>
      </c>
    </row>
    <row r="314" spans="42:49" x14ac:dyDescent="0.3">
      <c r="AP314" t="str">
        <f t="shared" si="20"/>
        <v/>
      </c>
      <c r="AW314" t="s">
        <v>524</v>
      </c>
    </row>
    <row r="315" spans="42:49" x14ac:dyDescent="0.3">
      <c r="AP315" t="str">
        <f t="shared" si="20"/>
        <v/>
      </c>
      <c r="AW315" t="s">
        <v>525</v>
      </c>
    </row>
    <row r="316" spans="42:49" x14ac:dyDescent="0.3">
      <c r="AP316" t="str">
        <f t="shared" si="20"/>
        <v/>
      </c>
      <c r="AW316" t="s">
        <v>526</v>
      </c>
    </row>
    <row r="317" spans="42:49" x14ac:dyDescent="0.3">
      <c r="AP317" t="str">
        <f t="shared" si="20"/>
        <v/>
      </c>
      <c r="AW317" t="s">
        <v>527</v>
      </c>
    </row>
    <row r="318" spans="42:49" x14ac:dyDescent="0.3">
      <c r="AP318" t="str">
        <f t="shared" si="20"/>
        <v/>
      </c>
      <c r="AW318" t="s">
        <v>528</v>
      </c>
    </row>
    <row r="319" spans="42:49" x14ac:dyDescent="0.3">
      <c r="AP319" t="str">
        <f t="shared" si="20"/>
        <v/>
      </c>
      <c r="AW319" t="s">
        <v>529</v>
      </c>
    </row>
    <row r="320" spans="42:49" x14ac:dyDescent="0.3">
      <c r="AP320" t="str">
        <f t="shared" si="20"/>
        <v/>
      </c>
      <c r="AW320" t="s">
        <v>530</v>
      </c>
    </row>
    <row r="321" spans="42:49" x14ac:dyDescent="0.3">
      <c r="AP321" t="str">
        <f t="shared" si="20"/>
        <v/>
      </c>
      <c r="AW321" t="s">
        <v>531</v>
      </c>
    </row>
    <row r="322" spans="42:49" x14ac:dyDescent="0.3">
      <c r="AP322" t="str">
        <f t="shared" si="20"/>
        <v/>
      </c>
      <c r="AW322" t="s">
        <v>532</v>
      </c>
    </row>
    <row r="323" spans="42:49" x14ac:dyDescent="0.3">
      <c r="AP323" t="str">
        <f t="shared" ref="AP323:AP386" si="21">IF($Y323="","",
SUM($Y323,$AI323,$AM323,$AJ323,$AL323,$AK323,$AN323,$AD323,$AF323,$AG323)-
IF($AO323="",0,VALUE($AO323)))</f>
        <v/>
      </c>
      <c r="AW323" t="s">
        <v>533</v>
      </c>
    </row>
    <row r="324" spans="42:49" x14ac:dyDescent="0.3">
      <c r="AP324" t="str">
        <f t="shared" si="21"/>
        <v/>
      </c>
      <c r="AW324" t="s">
        <v>534</v>
      </c>
    </row>
    <row r="325" spans="42:49" x14ac:dyDescent="0.3">
      <c r="AP325" t="str">
        <f t="shared" si="21"/>
        <v/>
      </c>
      <c r="AW325" t="s">
        <v>535</v>
      </c>
    </row>
    <row r="326" spans="42:49" x14ac:dyDescent="0.3">
      <c r="AP326" t="str">
        <f t="shared" si="21"/>
        <v/>
      </c>
      <c r="AW326" t="s">
        <v>536</v>
      </c>
    </row>
    <row r="327" spans="42:49" x14ac:dyDescent="0.3">
      <c r="AP327" t="str">
        <f t="shared" si="21"/>
        <v/>
      </c>
      <c r="AW327" t="s">
        <v>537</v>
      </c>
    </row>
    <row r="328" spans="42:49" x14ac:dyDescent="0.3">
      <c r="AP328" t="str">
        <f t="shared" si="21"/>
        <v/>
      </c>
      <c r="AW328" t="s">
        <v>538</v>
      </c>
    </row>
    <row r="329" spans="42:49" x14ac:dyDescent="0.3">
      <c r="AP329" t="str">
        <f t="shared" si="21"/>
        <v/>
      </c>
      <c r="AW329" t="s">
        <v>539</v>
      </c>
    </row>
    <row r="330" spans="42:49" x14ac:dyDescent="0.3">
      <c r="AP330" t="str">
        <f t="shared" si="21"/>
        <v/>
      </c>
      <c r="AW330" t="s">
        <v>540</v>
      </c>
    </row>
    <row r="331" spans="42:49" x14ac:dyDescent="0.3">
      <c r="AP331" t="str">
        <f t="shared" si="21"/>
        <v/>
      </c>
      <c r="AW331" t="s">
        <v>541</v>
      </c>
    </row>
    <row r="332" spans="42:49" x14ac:dyDescent="0.3">
      <c r="AP332" t="str">
        <f t="shared" si="21"/>
        <v/>
      </c>
      <c r="AW332" t="s">
        <v>542</v>
      </c>
    </row>
    <row r="333" spans="42:49" x14ac:dyDescent="0.3">
      <c r="AP333" t="str">
        <f t="shared" si="21"/>
        <v/>
      </c>
      <c r="AW333" t="s">
        <v>543</v>
      </c>
    </row>
    <row r="334" spans="42:49" x14ac:dyDescent="0.3">
      <c r="AP334" t="str">
        <f t="shared" si="21"/>
        <v/>
      </c>
      <c r="AW334" t="s">
        <v>544</v>
      </c>
    </row>
    <row r="335" spans="42:49" x14ac:dyDescent="0.3">
      <c r="AP335" t="str">
        <f t="shared" si="21"/>
        <v/>
      </c>
      <c r="AW335" t="s">
        <v>545</v>
      </c>
    </row>
    <row r="336" spans="42:49" x14ac:dyDescent="0.3">
      <c r="AP336" t="str">
        <f t="shared" si="21"/>
        <v/>
      </c>
      <c r="AW336" t="s">
        <v>546</v>
      </c>
    </row>
    <row r="337" spans="42:49" x14ac:dyDescent="0.3">
      <c r="AP337" t="str">
        <f t="shared" si="21"/>
        <v/>
      </c>
      <c r="AW337" t="s">
        <v>547</v>
      </c>
    </row>
    <row r="338" spans="42:49" x14ac:dyDescent="0.3">
      <c r="AP338" t="str">
        <f t="shared" si="21"/>
        <v/>
      </c>
      <c r="AW338" t="s">
        <v>548</v>
      </c>
    </row>
    <row r="339" spans="42:49" x14ac:dyDescent="0.3">
      <c r="AP339" t="str">
        <f t="shared" si="21"/>
        <v/>
      </c>
      <c r="AW339" t="s">
        <v>549</v>
      </c>
    </row>
    <row r="340" spans="42:49" x14ac:dyDescent="0.3">
      <c r="AP340" t="str">
        <f t="shared" si="21"/>
        <v/>
      </c>
      <c r="AW340" t="s">
        <v>550</v>
      </c>
    </row>
    <row r="341" spans="42:49" x14ac:dyDescent="0.3">
      <c r="AP341" t="str">
        <f t="shared" si="21"/>
        <v/>
      </c>
      <c r="AW341" t="s">
        <v>551</v>
      </c>
    </row>
    <row r="342" spans="42:49" x14ac:dyDescent="0.3">
      <c r="AP342" t="str">
        <f t="shared" si="21"/>
        <v/>
      </c>
      <c r="AW342" t="s">
        <v>552</v>
      </c>
    </row>
    <row r="343" spans="42:49" x14ac:dyDescent="0.3">
      <c r="AP343" t="str">
        <f t="shared" si="21"/>
        <v/>
      </c>
      <c r="AW343" t="s">
        <v>553</v>
      </c>
    </row>
    <row r="344" spans="42:49" x14ac:dyDescent="0.3">
      <c r="AP344" t="str">
        <f t="shared" si="21"/>
        <v/>
      </c>
      <c r="AW344" t="s">
        <v>554</v>
      </c>
    </row>
    <row r="345" spans="42:49" x14ac:dyDescent="0.3">
      <c r="AP345" t="str">
        <f t="shared" si="21"/>
        <v/>
      </c>
      <c r="AW345" t="s">
        <v>555</v>
      </c>
    </row>
    <row r="346" spans="42:49" x14ac:dyDescent="0.3">
      <c r="AP346" t="str">
        <f t="shared" si="21"/>
        <v/>
      </c>
      <c r="AW346" t="s">
        <v>556</v>
      </c>
    </row>
    <row r="347" spans="42:49" x14ac:dyDescent="0.3">
      <c r="AP347" t="str">
        <f t="shared" si="21"/>
        <v/>
      </c>
      <c r="AW347" t="s">
        <v>557</v>
      </c>
    </row>
    <row r="348" spans="42:49" x14ac:dyDescent="0.3">
      <c r="AP348" t="str">
        <f t="shared" si="21"/>
        <v/>
      </c>
      <c r="AW348" t="s">
        <v>558</v>
      </c>
    </row>
    <row r="349" spans="42:49" x14ac:dyDescent="0.3">
      <c r="AP349" t="str">
        <f t="shared" si="21"/>
        <v/>
      </c>
      <c r="AW349" t="s">
        <v>559</v>
      </c>
    </row>
    <row r="350" spans="42:49" x14ac:dyDescent="0.3">
      <c r="AP350" t="str">
        <f t="shared" si="21"/>
        <v/>
      </c>
      <c r="AW350" t="s">
        <v>560</v>
      </c>
    </row>
    <row r="351" spans="42:49" x14ac:dyDescent="0.3">
      <c r="AP351" t="str">
        <f t="shared" si="21"/>
        <v/>
      </c>
      <c r="AW351" t="s">
        <v>561</v>
      </c>
    </row>
    <row r="352" spans="42:49" x14ac:dyDescent="0.3">
      <c r="AP352" t="str">
        <f t="shared" si="21"/>
        <v/>
      </c>
      <c r="AW352" t="s">
        <v>562</v>
      </c>
    </row>
    <row r="353" spans="42:49" x14ac:dyDescent="0.3">
      <c r="AP353" t="str">
        <f t="shared" si="21"/>
        <v/>
      </c>
      <c r="AW353" t="s">
        <v>563</v>
      </c>
    </row>
    <row r="354" spans="42:49" x14ac:dyDescent="0.3">
      <c r="AP354" t="str">
        <f t="shared" si="21"/>
        <v/>
      </c>
      <c r="AW354" t="s">
        <v>564</v>
      </c>
    </row>
    <row r="355" spans="42:49" x14ac:dyDescent="0.3">
      <c r="AP355" t="str">
        <f t="shared" si="21"/>
        <v/>
      </c>
      <c r="AW355" t="s">
        <v>565</v>
      </c>
    </row>
    <row r="356" spans="42:49" x14ac:dyDescent="0.3">
      <c r="AP356" t="str">
        <f t="shared" si="21"/>
        <v/>
      </c>
      <c r="AW356" t="s">
        <v>566</v>
      </c>
    </row>
    <row r="357" spans="42:49" x14ac:dyDescent="0.3">
      <c r="AP357" t="str">
        <f t="shared" si="21"/>
        <v/>
      </c>
      <c r="AW357" t="s">
        <v>567</v>
      </c>
    </row>
    <row r="358" spans="42:49" x14ac:dyDescent="0.3">
      <c r="AP358" t="str">
        <f t="shared" si="21"/>
        <v/>
      </c>
      <c r="AW358" t="s">
        <v>568</v>
      </c>
    </row>
    <row r="359" spans="42:49" x14ac:dyDescent="0.3">
      <c r="AP359" t="str">
        <f t="shared" si="21"/>
        <v/>
      </c>
      <c r="AW359" t="s">
        <v>569</v>
      </c>
    </row>
    <row r="360" spans="42:49" x14ac:dyDescent="0.3">
      <c r="AP360" t="str">
        <f t="shared" si="21"/>
        <v/>
      </c>
      <c r="AW360" t="s">
        <v>570</v>
      </c>
    </row>
    <row r="361" spans="42:49" x14ac:dyDescent="0.3">
      <c r="AP361" t="str">
        <f t="shared" si="21"/>
        <v/>
      </c>
      <c r="AW361" t="s">
        <v>571</v>
      </c>
    </row>
    <row r="362" spans="42:49" x14ac:dyDescent="0.3">
      <c r="AP362" t="str">
        <f t="shared" si="21"/>
        <v/>
      </c>
      <c r="AW362" t="s">
        <v>572</v>
      </c>
    </row>
    <row r="363" spans="42:49" x14ac:dyDescent="0.3">
      <c r="AP363" t="str">
        <f t="shared" si="21"/>
        <v/>
      </c>
      <c r="AW363" t="s">
        <v>573</v>
      </c>
    </row>
    <row r="364" spans="42:49" x14ac:dyDescent="0.3">
      <c r="AP364" t="str">
        <f t="shared" si="21"/>
        <v/>
      </c>
      <c r="AW364" t="s">
        <v>574</v>
      </c>
    </row>
    <row r="365" spans="42:49" x14ac:dyDescent="0.3">
      <c r="AP365" t="str">
        <f t="shared" si="21"/>
        <v/>
      </c>
      <c r="AW365" t="s">
        <v>575</v>
      </c>
    </row>
    <row r="366" spans="42:49" x14ac:dyDescent="0.3">
      <c r="AP366" t="str">
        <f t="shared" si="21"/>
        <v/>
      </c>
      <c r="AW366" t="s">
        <v>576</v>
      </c>
    </row>
    <row r="367" spans="42:49" x14ac:dyDescent="0.3">
      <c r="AP367" t="str">
        <f t="shared" si="21"/>
        <v/>
      </c>
      <c r="AW367" t="s">
        <v>577</v>
      </c>
    </row>
    <row r="368" spans="42:49" x14ac:dyDescent="0.3">
      <c r="AP368" t="str">
        <f t="shared" si="21"/>
        <v/>
      </c>
      <c r="AW368" t="s">
        <v>578</v>
      </c>
    </row>
    <row r="369" spans="42:49" x14ac:dyDescent="0.3">
      <c r="AP369" t="str">
        <f t="shared" si="21"/>
        <v/>
      </c>
      <c r="AW369" t="s">
        <v>579</v>
      </c>
    </row>
    <row r="370" spans="42:49" x14ac:dyDescent="0.3">
      <c r="AP370" t="str">
        <f t="shared" si="21"/>
        <v/>
      </c>
      <c r="AW370" t="s">
        <v>580</v>
      </c>
    </row>
    <row r="371" spans="42:49" x14ac:dyDescent="0.3">
      <c r="AP371" t="str">
        <f t="shared" si="21"/>
        <v/>
      </c>
      <c r="AW371" t="s">
        <v>581</v>
      </c>
    </row>
    <row r="372" spans="42:49" x14ac:dyDescent="0.3">
      <c r="AP372" t="str">
        <f t="shared" si="21"/>
        <v/>
      </c>
      <c r="AW372" t="s">
        <v>582</v>
      </c>
    </row>
    <row r="373" spans="42:49" x14ac:dyDescent="0.3">
      <c r="AP373" t="str">
        <f t="shared" si="21"/>
        <v/>
      </c>
      <c r="AW373" t="s">
        <v>583</v>
      </c>
    </row>
    <row r="374" spans="42:49" x14ac:dyDescent="0.3">
      <c r="AP374" t="str">
        <f t="shared" si="21"/>
        <v/>
      </c>
      <c r="AW374" t="s">
        <v>584</v>
      </c>
    </row>
    <row r="375" spans="42:49" x14ac:dyDescent="0.3">
      <c r="AP375" t="str">
        <f t="shared" si="21"/>
        <v/>
      </c>
      <c r="AW375" t="s">
        <v>585</v>
      </c>
    </row>
    <row r="376" spans="42:49" x14ac:dyDescent="0.3">
      <c r="AP376" t="str">
        <f t="shared" si="21"/>
        <v/>
      </c>
      <c r="AW376" t="s">
        <v>586</v>
      </c>
    </row>
    <row r="377" spans="42:49" x14ac:dyDescent="0.3">
      <c r="AP377" t="str">
        <f t="shared" si="21"/>
        <v/>
      </c>
      <c r="AW377" t="s">
        <v>587</v>
      </c>
    </row>
    <row r="378" spans="42:49" x14ac:dyDescent="0.3">
      <c r="AP378" t="str">
        <f t="shared" si="21"/>
        <v/>
      </c>
      <c r="AW378" t="s">
        <v>588</v>
      </c>
    </row>
    <row r="379" spans="42:49" x14ac:dyDescent="0.3">
      <c r="AP379" t="str">
        <f t="shared" si="21"/>
        <v/>
      </c>
      <c r="AW379" t="s">
        <v>589</v>
      </c>
    </row>
    <row r="380" spans="42:49" x14ac:dyDescent="0.3">
      <c r="AP380" t="str">
        <f t="shared" si="21"/>
        <v/>
      </c>
      <c r="AW380" t="s">
        <v>590</v>
      </c>
    </row>
    <row r="381" spans="42:49" x14ac:dyDescent="0.3">
      <c r="AP381" t="str">
        <f t="shared" si="21"/>
        <v/>
      </c>
      <c r="AW381" t="s">
        <v>591</v>
      </c>
    </row>
    <row r="382" spans="42:49" x14ac:dyDescent="0.3">
      <c r="AP382" t="str">
        <f t="shared" si="21"/>
        <v/>
      </c>
      <c r="AW382" t="s">
        <v>592</v>
      </c>
    </row>
    <row r="383" spans="42:49" x14ac:dyDescent="0.3">
      <c r="AP383" t="str">
        <f t="shared" si="21"/>
        <v/>
      </c>
      <c r="AW383" t="s">
        <v>593</v>
      </c>
    </row>
    <row r="384" spans="42:49" x14ac:dyDescent="0.3">
      <c r="AP384" t="str">
        <f t="shared" si="21"/>
        <v/>
      </c>
      <c r="AW384" t="s">
        <v>594</v>
      </c>
    </row>
    <row r="385" spans="42:49" x14ac:dyDescent="0.3">
      <c r="AP385" t="str">
        <f t="shared" si="21"/>
        <v/>
      </c>
      <c r="AW385" t="s">
        <v>595</v>
      </c>
    </row>
    <row r="386" spans="42:49" x14ac:dyDescent="0.3">
      <c r="AP386" t="str">
        <f t="shared" si="21"/>
        <v/>
      </c>
      <c r="AW386" t="s">
        <v>596</v>
      </c>
    </row>
    <row r="387" spans="42:49" x14ac:dyDescent="0.3">
      <c r="AP387" t="str">
        <f t="shared" ref="AP387:AP450" si="22">IF($Y387="","",
SUM($Y387,$AI387,$AM387,$AJ387,$AL387,$AK387,$AN387,$AD387,$AF387,$AG387)-
IF($AO387="",0,VALUE($AO387)))</f>
        <v/>
      </c>
      <c r="AW387" t="s">
        <v>597</v>
      </c>
    </row>
    <row r="388" spans="42:49" x14ac:dyDescent="0.3">
      <c r="AP388" t="str">
        <f t="shared" si="22"/>
        <v/>
      </c>
      <c r="AW388" t="s">
        <v>598</v>
      </c>
    </row>
    <row r="389" spans="42:49" x14ac:dyDescent="0.3">
      <c r="AP389" t="str">
        <f t="shared" si="22"/>
        <v/>
      </c>
      <c r="AW389" t="s">
        <v>599</v>
      </c>
    </row>
    <row r="390" spans="42:49" x14ac:dyDescent="0.3">
      <c r="AP390" t="str">
        <f t="shared" si="22"/>
        <v/>
      </c>
      <c r="AW390" t="s">
        <v>600</v>
      </c>
    </row>
    <row r="391" spans="42:49" x14ac:dyDescent="0.3">
      <c r="AP391" t="str">
        <f t="shared" si="22"/>
        <v/>
      </c>
      <c r="AW391" t="s">
        <v>601</v>
      </c>
    </row>
    <row r="392" spans="42:49" x14ac:dyDescent="0.3">
      <c r="AP392" t="str">
        <f t="shared" si="22"/>
        <v/>
      </c>
      <c r="AW392" t="s">
        <v>602</v>
      </c>
    </row>
    <row r="393" spans="42:49" x14ac:dyDescent="0.3">
      <c r="AP393" t="str">
        <f t="shared" si="22"/>
        <v/>
      </c>
      <c r="AW393" t="s">
        <v>603</v>
      </c>
    </row>
    <row r="394" spans="42:49" x14ac:dyDescent="0.3">
      <c r="AP394" t="str">
        <f t="shared" si="22"/>
        <v/>
      </c>
      <c r="AW394" t="s">
        <v>604</v>
      </c>
    </row>
    <row r="395" spans="42:49" x14ac:dyDescent="0.3">
      <c r="AP395" t="str">
        <f t="shared" si="22"/>
        <v/>
      </c>
      <c r="AW395" t="s">
        <v>605</v>
      </c>
    </row>
    <row r="396" spans="42:49" x14ac:dyDescent="0.3">
      <c r="AP396" t="str">
        <f t="shared" si="22"/>
        <v/>
      </c>
      <c r="AW396" t="s">
        <v>606</v>
      </c>
    </row>
    <row r="397" spans="42:49" x14ac:dyDescent="0.3">
      <c r="AP397" t="str">
        <f t="shared" si="22"/>
        <v/>
      </c>
      <c r="AW397" t="s">
        <v>607</v>
      </c>
    </row>
    <row r="398" spans="42:49" x14ac:dyDescent="0.3">
      <c r="AP398" t="str">
        <f t="shared" si="22"/>
        <v/>
      </c>
      <c r="AW398" t="s">
        <v>608</v>
      </c>
    </row>
    <row r="399" spans="42:49" x14ac:dyDescent="0.3">
      <c r="AP399" t="str">
        <f t="shared" si="22"/>
        <v/>
      </c>
      <c r="AW399" t="s">
        <v>609</v>
      </c>
    </row>
    <row r="400" spans="42:49" x14ac:dyDescent="0.3">
      <c r="AP400" t="str">
        <f t="shared" si="22"/>
        <v/>
      </c>
      <c r="AW400" t="s">
        <v>610</v>
      </c>
    </row>
    <row r="401" spans="42:49" x14ac:dyDescent="0.3">
      <c r="AP401" t="str">
        <f t="shared" si="22"/>
        <v/>
      </c>
      <c r="AW401" t="s">
        <v>611</v>
      </c>
    </row>
    <row r="402" spans="42:49" x14ac:dyDescent="0.3">
      <c r="AP402" t="str">
        <f t="shared" si="22"/>
        <v/>
      </c>
      <c r="AW402" t="s">
        <v>612</v>
      </c>
    </row>
    <row r="403" spans="42:49" x14ac:dyDescent="0.3">
      <c r="AP403" t="str">
        <f t="shared" si="22"/>
        <v/>
      </c>
      <c r="AW403" t="s">
        <v>613</v>
      </c>
    </row>
    <row r="404" spans="42:49" x14ac:dyDescent="0.3">
      <c r="AP404" t="str">
        <f t="shared" si="22"/>
        <v/>
      </c>
      <c r="AW404" t="s">
        <v>614</v>
      </c>
    </row>
    <row r="405" spans="42:49" x14ac:dyDescent="0.3">
      <c r="AP405" t="str">
        <f t="shared" si="22"/>
        <v/>
      </c>
      <c r="AW405" t="s">
        <v>615</v>
      </c>
    </row>
    <row r="406" spans="42:49" x14ac:dyDescent="0.3">
      <c r="AP406" t="str">
        <f t="shared" si="22"/>
        <v/>
      </c>
      <c r="AW406" t="s">
        <v>616</v>
      </c>
    </row>
    <row r="407" spans="42:49" x14ac:dyDescent="0.3">
      <c r="AP407" t="str">
        <f t="shared" si="22"/>
        <v/>
      </c>
      <c r="AW407" t="s">
        <v>617</v>
      </c>
    </row>
    <row r="408" spans="42:49" x14ac:dyDescent="0.3">
      <c r="AP408" t="str">
        <f t="shared" si="22"/>
        <v/>
      </c>
      <c r="AW408" t="s">
        <v>618</v>
      </c>
    </row>
    <row r="409" spans="42:49" x14ac:dyDescent="0.3">
      <c r="AP409" t="str">
        <f t="shared" si="22"/>
        <v/>
      </c>
      <c r="AW409" t="s">
        <v>619</v>
      </c>
    </row>
    <row r="410" spans="42:49" x14ac:dyDescent="0.3">
      <c r="AP410" t="str">
        <f t="shared" si="22"/>
        <v/>
      </c>
      <c r="AW410" t="s">
        <v>620</v>
      </c>
    </row>
    <row r="411" spans="42:49" x14ac:dyDescent="0.3">
      <c r="AP411" t="str">
        <f t="shared" si="22"/>
        <v/>
      </c>
      <c r="AW411" t="s">
        <v>621</v>
      </c>
    </row>
    <row r="412" spans="42:49" x14ac:dyDescent="0.3">
      <c r="AP412" t="str">
        <f t="shared" si="22"/>
        <v/>
      </c>
      <c r="AW412" t="s">
        <v>622</v>
      </c>
    </row>
    <row r="413" spans="42:49" x14ac:dyDescent="0.3">
      <c r="AP413" t="str">
        <f t="shared" si="22"/>
        <v/>
      </c>
      <c r="AW413" t="s">
        <v>623</v>
      </c>
    </row>
    <row r="414" spans="42:49" x14ac:dyDescent="0.3">
      <c r="AP414" t="str">
        <f t="shared" si="22"/>
        <v/>
      </c>
      <c r="AW414" t="s">
        <v>624</v>
      </c>
    </row>
    <row r="415" spans="42:49" x14ac:dyDescent="0.3">
      <c r="AP415" t="str">
        <f t="shared" si="22"/>
        <v/>
      </c>
      <c r="AW415" t="s">
        <v>625</v>
      </c>
    </row>
    <row r="416" spans="42:49" x14ac:dyDescent="0.3">
      <c r="AP416" t="str">
        <f t="shared" si="22"/>
        <v/>
      </c>
      <c r="AW416" t="s">
        <v>626</v>
      </c>
    </row>
    <row r="417" spans="42:49" x14ac:dyDescent="0.3">
      <c r="AP417" t="str">
        <f t="shared" si="22"/>
        <v/>
      </c>
      <c r="AW417" t="s">
        <v>627</v>
      </c>
    </row>
    <row r="418" spans="42:49" x14ac:dyDescent="0.3">
      <c r="AP418" t="str">
        <f t="shared" si="22"/>
        <v/>
      </c>
      <c r="AW418" t="s">
        <v>628</v>
      </c>
    </row>
    <row r="419" spans="42:49" x14ac:dyDescent="0.3">
      <c r="AP419" t="str">
        <f t="shared" si="22"/>
        <v/>
      </c>
      <c r="AW419" t="s">
        <v>629</v>
      </c>
    </row>
    <row r="420" spans="42:49" x14ac:dyDescent="0.3">
      <c r="AP420" t="str">
        <f t="shared" si="22"/>
        <v/>
      </c>
      <c r="AW420" t="s">
        <v>630</v>
      </c>
    </row>
    <row r="421" spans="42:49" x14ac:dyDescent="0.3">
      <c r="AP421" t="str">
        <f t="shared" si="22"/>
        <v/>
      </c>
      <c r="AW421" t="s">
        <v>631</v>
      </c>
    </row>
    <row r="422" spans="42:49" x14ac:dyDescent="0.3">
      <c r="AP422" t="str">
        <f t="shared" si="22"/>
        <v/>
      </c>
      <c r="AW422" t="s">
        <v>632</v>
      </c>
    </row>
    <row r="423" spans="42:49" x14ac:dyDescent="0.3">
      <c r="AP423" t="str">
        <f t="shared" si="22"/>
        <v/>
      </c>
      <c r="AW423" t="s">
        <v>633</v>
      </c>
    </row>
    <row r="424" spans="42:49" x14ac:dyDescent="0.3">
      <c r="AP424" t="str">
        <f t="shared" si="22"/>
        <v/>
      </c>
      <c r="AW424" t="s">
        <v>634</v>
      </c>
    </row>
    <row r="425" spans="42:49" x14ac:dyDescent="0.3">
      <c r="AP425" t="str">
        <f t="shared" si="22"/>
        <v/>
      </c>
      <c r="AW425" t="s">
        <v>635</v>
      </c>
    </row>
    <row r="426" spans="42:49" x14ac:dyDescent="0.3">
      <c r="AP426" t="str">
        <f t="shared" si="22"/>
        <v/>
      </c>
      <c r="AW426" t="s">
        <v>636</v>
      </c>
    </row>
    <row r="427" spans="42:49" x14ac:dyDescent="0.3">
      <c r="AP427" t="str">
        <f t="shared" si="22"/>
        <v/>
      </c>
      <c r="AW427" t="s">
        <v>637</v>
      </c>
    </row>
    <row r="428" spans="42:49" x14ac:dyDescent="0.3">
      <c r="AP428" t="str">
        <f t="shared" si="22"/>
        <v/>
      </c>
      <c r="AW428" t="s">
        <v>638</v>
      </c>
    </row>
    <row r="429" spans="42:49" x14ac:dyDescent="0.3">
      <c r="AP429" t="str">
        <f t="shared" si="22"/>
        <v/>
      </c>
      <c r="AW429" t="s">
        <v>639</v>
      </c>
    </row>
    <row r="430" spans="42:49" x14ac:dyDescent="0.3">
      <c r="AP430" t="str">
        <f t="shared" si="22"/>
        <v/>
      </c>
      <c r="AW430" t="s">
        <v>640</v>
      </c>
    </row>
    <row r="431" spans="42:49" x14ac:dyDescent="0.3">
      <c r="AP431" t="str">
        <f t="shared" si="22"/>
        <v/>
      </c>
      <c r="AW431" t="s">
        <v>641</v>
      </c>
    </row>
    <row r="432" spans="42:49" x14ac:dyDescent="0.3">
      <c r="AP432" t="str">
        <f t="shared" si="22"/>
        <v/>
      </c>
      <c r="AW432" t="s">
        <v>642</v>
      </c>
    </row>
    <row r="433" spans="42:49" x14ac:dyDescent="0.3">
      <c r="AP433" t="str">
        <f t="shared" si="22"/>
        <v/>
      </c>
      <c r="AW433" t="s">
        <v>643</v>
      </c>
    </row>
    <row r="434" spans="42:49" x14ac:dyDescent="0.3">
      <c r="AP434" t="str">
        <f t="shared" si="22"/>
        <v/>
      </c>
      <c r="AW434" t="s">
        <v>644</v>
      </c>
    </row>
    <row r="435" spans="42:49" x14ac:dyDescent="0.3">
      <c r="AP435" t="str">
        <f t="shared" si="22"/>
        <v/>
      </c>
      <c r="AW435" t="s">
        <v>645</v>
      </c>
    </row>
    <row r="436" spans="42:49" x14ac:dyDescent="0.3">
      <c r="AP436" t="str">
        <f t="shared" si="22"/>
        <v/>
      </c>
      <c r="AW436" t="s">
        <v>646</v>
      </c>
    </row>
    <row r="437" spans="42:49" x14ac:dyDescent="0.3">
      <c r="AP437" t="str">
        <f t="shared" si="22"/>
        <v/>
      </c>
      <c r="AW437" t="s">
        <v>647</v>
      </c>
    </row>
    <row r="438" spans="42:49" x14ac:dyDescent="0.3">
      <c r="AP438" t="str">
        <f t="shared" si="22"/>
        <v/>
      </c>
      <c r="AW438" t="s">
        <v>648</v>
      </c>
    </row>
    <row r="439" spans="42:49" x14ac:dyDescent="0.3">
      <c r="AP439" t="str">
        <f t="shared" si="22"/>
        <v/>
      </c>
      <c r="AW439" t="s">
        <v>649</v>
      </c>
    </row>
    <row r="440" spans="42:49" x14ac:dyDescent="0.3">
      <c r="AP440" t="str">
        <f t="shared" si="22"/>
        <v/>
      </c>
      <c r="AW440" t="s">
        <v>650</v>
      </c>
    </row>
    <row r="441" spans="42:49" x14ac:dyDescent="0.3">
      <c r="AP441" t="str">
        <f t="shared" si="22"/>
        <v/>
      </c>
      <c r="AW441" t="s">
        <v>651</v>
      </c>
    </row>
    <row r="442" spans="42:49" x14ac:dyDescent="0.3">
      <c r="AP442" t="str">
        <f t="shared" si="22"/>
        <v/>
      </c>
      <c r="AW442" t="s">
        <v>652</v>
      </c>
    </row>
    <row r="443" spans="42:49" x14ac:dyDescent="0.3">
      <c r="AP443" t="str">
        <f t="shared" si="22"/>
        <v/>
      </c>
      <c r="AW443" t="s">
        <v>653</v>
      </c>
    </row>
    <row r="444" spans="42:49" x14ac:dyDescent="0.3">
      <c r="AP444" t="str">
        <f t="shared" si="22"/>
        <v/>
      </c>
      <c r="AW444" t="s">
        <v>654</v>
      </c>
    </row>
    <row r="445" spans="42:49" x14ac:dyDescent="0.3">
      <c r="AP445" t="str">
        <f t="shared" si="22"/>
        <v/>
      </c>
      <c r="AW445" t="s">
        <v>655</v>
      </c>
    </row>
    <row r="446" spans="42:49" x14ac:dyDescent="0.3">
      <c r="AP446" t="str">
        <f t="shared" si="22"/>
        <v/>
      </c>
      <c r="AW446" t="s">
        <v>656</v>
      </c>
    </row>
    <row r="447" spans="42:49" x14ac:dyDescent="0.3">
      <c r="AP447" t="str">
        <f t="shared" si="22"/>
        <v/>
      </c>
      <c r="AW447" t="s">
        <v>657</v>
      </c>
    </row>
    <row r="448" spans="42:49" x14ac:dyDescent="0.3">
      <c r="AP448" t="str">
        <f t="shared" si="22"/>
        <v/>
      </c>
      <c r="AW448" t="s">
        <v>658</v>
      </c>
    </row>
    <row r="449" spans="42:49" x14ac:dyDescent="0.3">
      <c r="AP449" t="str">
        <f t="shared" si="22"/>
        <v/>
      </c>
      <c r="AW449" t="s">
        <v>659</v>
      </c>
    </row>
    <row r="450" spans="42:49" x14ac:dyDescent="0.3">
      <c r="AP450" t="str">
        <f t="shared" si="22"/>
        <v/>
      </c>
      <c r="AW450" t="s">
        <v>660</v>
      </c>
    </row>
    <row r="451" spans="42:49" x14ac:dyDescent="0.3">
      <c r="AP451" t="str">
        <f t="shared" ref="AP451:AP514" si="23">IF($Y451="","",
SUM($Y451,$AI451,$AM451,$AJ451,$AL451,$AK451,$AN451,$AD451,$AF451,$AG451)-
IF($AO451="",0,VALUE($AO451)))</f>
        <v/>
      </c>
      <c r="AW451" t="s">
        <v>661</v>
      </c>
    </row>
    <row r="452" spans="42:49" x14ac:dyDescent="0.3">
      <c r="AP452" t="str">
        <f t="shared" si="23"/>
        <v/>
      </c>
      <c r="AW452" t="s">
        <v>662</v>
      </c>
    </row>
    <row r="453" spans="42:49" x14ac:dyDescent="0.3">
      <c r="AP453" t="str">
        <f t="shared" si="23"/>
        <v/>
      </c>
      <c r="AW453" t="s">
        <v>663</v>
      </c>
    </row>
    <row r="454" spans="42:49" x14ac:dyDescent="0.3">
      <c r="AP454" t="str">
        <f t="shared" si="23"/>
        <v/>
      </c>
      <c r="AW454" t="s">
        <v>664</v>
      </c>
    </row>
    <row r="455" spans="42:49" x14ac:dyDescent="0.3">
      <c r="AP455" t="str">
        <f t="shared" si="23"/>
        <v/>
      </c>
      <c r="AW455" t="s">
        <v>665</v>
      </c>
    </row>
    <row r="456" spans="42:49" x14ac:dyDescent="0.3">
      <c r="AP456" t="str">
        <f t="shared" si="23"/>
        <v/>
      </c>
      <c r="AW456" t="s">
        <v>666</v>
      </c>
    </row>
    <row r="457" spans="42:49" x14ac:dyDescent="0.3">
      <c r="AP457" t="str">
        <f t="shared" si="23"/>
        <v/>
      </c>
      <c r="AW457" t="s">
        <v>667</v>
      </c>
    </row>
    <row r="458" spans="42:49" x14ac:dyDescent="0.3">
      <c r="AP458" t="str">
        <f t="shared" si="23"/>
        <v/>
      </c>
      <c r="AW458" t="s">
        <v>668</v>
      </c>
    </row>
    <row r="459" spans="42:49" x14ac:dyDescent="0.3">
      <c r="AP459" t="str">
        <f t="shared" si="23"/>
        <v/>
      </c>
      <c r="AW459" t="s">
        <v>669</v>
      </c>
    </row>
    <row r="460" spans="42:49" x14ac:dyDescent="0.3">
      <c r="AP460" t="str">
        <f t="shared" si="23"/>
        <v/>
      </c>
      <c r="AW460" t="s">
        <v>670</v>
      </c>
    </row>
    <row r="461" spans="42:49" x14ac:dyDescent="0.3">
      <c r="AP461" t="str">
        <f t="shared" si="23"/>
        <v/>
      </c>
      <c r="AW461" t="s">
        <v>671</v>
      </c>
    </row>
    <row r="462" spans="42:49" x14ac:dyDescent="0.3">
      <c r="AP462" t="str">
        <f t="shared" si="23"/>
        <v/>
      </c>
      <c r="AW462" t="s">
        <v>672</v>
      </c>
    </row>
    <row r="463" spans="42:49" x14ac:dyDescent="0.3">
      <c r="AP463" t="str">
        <f t="shared" si="23"/>
        <v/>
      </c>
      <c r="AW463" t="s">
        <v>673</v>
      </c>
    </row>
    <row r="464" spans="42:49" x14ac:dyDescent="0.3">
      <c r="AP464" t="str">
        <f t="shared" si="23"/>
        <v/>
      </c>
      <c r="AW464" t="s">
        <v>674</v>
      </c>
    </row>
    <row r="465" spans="42:49" x14ac:dyDescent="0.3">
      <c r="AP465" t="str">
        <f t="shared" si="23"/>
        <v/>
      </c>
      <c r="AW465" t="s">
        <v>675</v>
      </c>
    </row>
    <row r="466" spans="42:49" x14ac:dyDescent="0.3">
      <c r="AP466" t="str">
        <f t="shared" si="23"/>
        <v/>
      </c>
      <c r="AW466" t="s">
        <v>676</v>
      </c>
    </row>
    <row r="467" spans="42:49" x14ac:dyDescent="0.3">
      <c r="AP467" t="str">
        <f t="shared" si="23"/>
        <v/>
      </c>
      <c r="AW467" t="s">
        <v>677</v>
      </c>
    </row>
    <row r="468" spans="42:49" x14ac:dyDescent="0.3">
      <c r="AP468" t="str">
        <f t="shared" si="23"/>
        <v/>
      </c>
      <c r="AW468" t="s">
        <v>678</v>
      </c>
    </row>
    <row r="469" spans="42:49" x14ac:dyDescent="0.3">
      <c r="AP469" t="str">
        <f t="shared" si="23"/>
        <v/>
      </c>
      <c r="AW469" t="s">
        <v>679</v>
      </c>
    </row>
    <row r="470" spans="42:49" x14ac:dyDescent="0.3">
      <c r="AP470" t="str">
        <f t="shared" si="23"/>
        <v/>
      </c>
      <c r="AW470" t="s">
        <v>680</v>
      </c>
    </row>
    <row r="471" spans="42:49" x14ac:dyDescent="0.3">
      <c r="AP471" t="str">
        <f t="shared" si="23"/>
        <v/>
      </c>
      <c r="AW471" t="s">
        <v>681</v>
      </c>
    </row>
    <row r="472" spans="42:49" x14ac:dyDescent="0.3">
      <c r="AP472" t="str">
        <f t="shared" si="23"/>
        <v/>
      </c>
      <c r="AW472" t="s">
        <v>682</v>
      </c>
    </row>
    <row r="473" spans="42:49" x14ac:dyDescent="0.3">
      <c r="AP473" t="str">
        <f t="shared" si="23"/>
        <v/>
      </c>
      <c r="AW473" t="s">
        <v>683</v>
      </c>
    </row>
    <row r="474" spans="42:49" x14ac:dyDescent="0.3">
      <c r="AP474" t="str">
        <f t="shared" si="23"/>
        <v/>
      </c>
      <c r="AW474" t="s">
        <v>684</v>
      </c>
    </row>
    <row r="475" spans="42:49" x14ac:dyDescent="0.3">
      <c r="AP475" t="str">
        <f t="shared" si="23"/>
        <v/>
      </c>
      <c r="AW475" t="s">
        <v>685</v>
      </c>
    </row>
    <row r="476" spans="42:49" x14ac:dyDescent="0.3">
      <c r="AP476" t="str">
        <f t="shared" si="23"/>
        <v/>
      </c>
      <c r="AW476" t="s">
        <v>686</v>
      </c>
    </row>
    <row r="477" spans="42:49" x14ac:dyDescent="0.3">
      <c r="AP477" t="str">
        <f t="shared" si="23"/>
        <v/>
      </c>
      <c r="AW477" t="s">
        <v>687</v>
      </c>
    </row>
    <row r="478" spans="42:49" x14ac:dyDescent="0.3">
      <c r="AP478" t="str">
        <f t="shared" si="23"/>
        <v/>
      </c>
      <c r="AW478" t="s">
        <v>688</v>
      </c>
    </row>
    <row r="479" spans="42:49" x14ac:dyDescent="0.3">
      <c r="AP479" t="str">
        <f t="shared" si="23"/>
        <v/>
      </c>
      <c r="AW479" t="s">
        <v>689</v>
      </c>
    </row>
    <row r="480" spans="42:49" x14ac:dyDescent="0.3">
      <c r="AP480" t="str">
        <f t="shared" si="23"/>
        <v/>
      </c>
      <c r="AW480" t="s">
        <v>690</v>
      </c>
    </row>
    <row r="481" spans="42:49" x14ac:dyDescent="0.3">
      <c r="AP481" t="str">
        <f t="shared" si="23"/>
        <v/>
      </c>
      <c r="AW481" t="s">
        <v>691</v>
      </c>
    </row>
    <row r="482" spans="42:49" x14ac:dyDescent="0.3">
      <c r="AP482" t="str">
        <f t="shared" si="23"/>
        <v/>
      </c>
      <c r="AW482" t="s">
        <v>692</v>
      </c>
    </row>
    <row r="483" spans="42:49" x14ac:dyDescent="0.3">
      <c r="AP483" t="str">
        <f t="shared" si="23"/>
        <v/>
      </c>
      <c r="AW483" t="s">
        <v>693</v>
      </c>
    </row>
    <row r="484" spans="42:49" x14ac:dyDescent="0.3">
      <c r="AP484" t="str">
        <f t="shared" si="23"/>
        <v/>
      </c>
      <c r="AW484" t="s">
        <v>694</v>
      </c>
    </row>
    <row r="485" spans="42:49" x14ac:dyDescent="0.3">
      <c r="AP485" t="str">
        <f t="shared" si="23"/>
        <v/>
      </c>
      <c r="AW485" t="s">
        <v>695</v>
      </c>
    </row>
    <row r="486" spans="42:49" x14ac:dyDescent="0.3">
      <c r="AP486" t="str">
        <f t="shared" si="23"/>
        <v/>
      </c>
      <c r="AW486" t="s">
        <v>696</v>
      </c>
    </row>
    <row r="487" spans="42:49" x14ac:dyDescent="0.3">
      <c r="AP487" t="str">
        <f t="shared" si="23"/>
        <v/>
      </c>
      <c r="AW487" t="s">
        <v>697</v>
      </c>
    </row>
    <row r="488" spans="42:49" x14ac:dyDescent="0.3">
      <c r="AP488" t="str">
        <f t="shared" si="23"/>
        <v/>
      </c>
      <c r="AW488" t="s">
        <v>698</v>
      </c>
    </row>
    <row r="489" spans="42:49" x14ac:dyDescent="0.3">
      <c r="AP489" t="str">
        <f t="shared" si="23"/>
        <v/>
      </c>
      <c r="AW489" t="s">
        <v>699</v>
      </c>
    </row>
    <row r="490" spans="42:49" x14ac:dyDescent="0.3">
      <c r="AP490" t="str">
        <f t="shared" si="23"/>
        <v/>
      </c>
      <c r="AW490" t="s">
        <v>700</v>
      </c>
    </row>
    <row r="491" spans="42:49" x14ac:dyDescent="0.3">
      <c r="AP491" t="str">
        <f t="shared" si="23"/>
        <v/>
      </c>
      <c r="AW491" t="s">
        <v>701</v>
      </c>
    </row>
    <row r="492" spans="42:49" x14ac:dyDescent="0.3">
      <c r="AP492" t="str">
        <f t="shared" si="23"/>
        <v/>
      </c>
      <c r="AW492" t="s">
        <v>702</v>
      </c>
    </row>
    <row r="493" spans="42:49" x14ac:dyDescent="0.3">
      <c r="AP493" t="str">
        <f t="shared" si="23"/>
        <v/>
      </c>
      <c r="AW493" t="s">
        <v>703</v>
      </c>
    </row>
    <row r="494" spans="42:49" x14ac:dyDescent="0.3">
      <c r="AP494" t="str">
        <f t="shared" si="23"/>
        <v/>
      </c>
      <c r="AW494" t="s">
        <v>704</v>
      </c>
    </row>
    <row r="495" spans="42:49" x14ac:dyDescent="0.3">
      <c r="AP495" t="str">
        <f t="shared" si="23"/>
        <v/>
      </c>
      <c r="AW495" t="s">
        <v>705</v>
      </c>
    </row>
    <row r="496" spans="42:49" x14ac:dyDescent="0.3">
      <c r="AP496" t="str">
        <f t="shared" si="23"/>
        <v/>
      </c>
      <c r="AW496" t="s">
        <v>706</v>
      </c>
    </row>
    <row r="497" spans="42:49" x14ac:dyDescent="0.3">
      <c r="AP497" t="str">
        <f t="shared" si="23"/>
        <v/>
      </c>
      <c r="AW497" t="s">
        <v>707</v>
      </c>
    </row>
    <row r="498" spans="42:49" x14ac:dyDescent="0.3">
      <c r="AP498" t="str">
        <f t="shared" si="23"/>
        <v/>
      </c>
      <c r="AW498" t="s">
        <v>708</v>
      </c>
    </row>
    <row r="499" spans="42:49" x14ac:dyDescent="0.3">
      <c r="AP499" t="str">
        <f t="shared" si="23"/>
        <v/>
      </c>
      <c r="AW499" t="s">
        <v>709</v>
      </c>
    </row>
    <row r="500" spans="42:49" x14ac:dyDescent="0.3">
      <c r="AP500" t="str">
        <f t="shared" si="23"/>
        <v/>
      </c>
      <c r="AW500" t="s">
        <v>710</v>
      </c>
    </row>
    <row r="501" spans="42:49" x14ac:dyDescent="0.3">
      <c r="AP501" t="str">
        <f t="shared" si="23"/>
        <v/>
      </c>
      <c r="AW501" t="s">
        <v>711</v>
      </c>
    </row>
    <row r="502" spans="42:49" x14ac:dyDescent="0.3">
      <c r="AP502" t="str">
        <f t="shared" si="23"/>
        <v/>
      </c>
      <c r="AW502" t="s">
        <v>712</v>
      </c>
    </row>
    <row r="503" spans="42:49" x14ac:dyDescent="0.3">
      <c r="AP503" t="str">
        <f t="shared" si="23"/>
        <v/>
      </c>
      <c r="AW503" t="s">
        <v>713</v>
      </c>
    </row>
    <row r="504" spans="42:49" x14ac:dyDescent="0.3">
      <c r="AP504" t="str">
        <f t="shared" si="23"/>
        <v/>
      </c>
      <c r="AW504" t="s">
        <v>714</v>
      </c>
    </row>
    <row r="505" spans="42:49" x14ac:dyDescent="0.3">
      <c r="AP505" t="str">
        <f t="shared" si="23"/>
        <v/>
      </c>
      <c r="AW505" t="s">
        <v>715</v>
      </c>
    </row>
    <row r="506" spans="42:49" x14ac:dyDescent="0.3">
      <c r="AP506" t="str">
        <f t="shared" si="23"/>
        <v/>
      </c>
      <c r="AW506" t="s">
        <v>716</v>
      </c>
    </row>
    <row r="507" spans="42:49" x14ac:dyDescent="0.3">
      <c r="AP507" t="str">
        <f t="shared" si="23"/>
        <v/>
      </c>
      <c r="AW507" t="s">
        <v>717</v>
      </c>
    </row>
    <row r="508" spans="42:49" x14ac:dyDescent="0.3">
      <c r="AP508" t="str">
        <f t="shared" si="23"/>
        <v/>
      </c>
      <c r="AW508" t="s">
        <v>718</v>
      </c>
    </row>
    <row r="509" spans="42:49" x14ac:dyDescent="0.3">
      <c r="AP509" t="str">
        <f t="shared" si="23"/>
        <v/>
      </c>
      <c r="AW509" t="s">
        <v>719</v>
      </c>
    </row>
    <row r="510" spans="42:49" x14ac:dyDescent="0.3">
      <c r="AP510" t="str">
        <f t="shared" si="23"/>
        <v/>
      </c>
      <c r="AW510" t="s">
        <v>720</v>
      </c>
    </row>
    <row r="511" spans="42:49" x14ac:dyDescent="0.3">
      <c r="AP511" t="str">
        <f t="shared" si="23"/>
        <v/>
      </c>
      <c r="AW511" t="s">
        <v>721</v>
      </c>
    </row>
    <row r="512" spans="42:49" x14ac:dyDescent="0.3">
      <c r="AP512" t="str">
        <f t="shared" si="23"/>
        <v/>
      </c>
      <c r="AW512" t="s">
        <v>722</v>
      </c>
    </row>
    <row r="513" spans="42:49" x14ac:dyDescent="0.3">
      <c r="AP513" t="str">
        <f t="shared" si="23"/>
        <v/>
      </c>
      <c r="AW513" t="s">
        <v>723</v>
      </c>
    </row>
    <row r="514" spans="42:49" x14ac:dyDescent="0.3">
      <c r="AP514" t="str">
        <f t="shared" si="23"/>
        <v/>
      </c>
      <c r="AW514" t="s">
        <v>724</v>
      </c>
    </row>
    <row r="515" spans="42:49" x14ac:dyDescent="0.3">
      <c r="AP515" t="str">
        <f t="shared" ref="AP515:AP578" si="24">IF($Y515="","",
SUM($Y515,$AI515,$AM515,$AJ515,$AL515,$AK515,$AN515,$AD515,$AF515,$AG515)-
IF($AO515="",0,VALUE($AO515)))</f>
        <v/>
      </c>
      <c r="AW515" t="s">
        <v>725</v>
      </c>
    </row>
    <row r="516" spans="42:49" x14ac:dyDescent="0.3">
      <c r="AP516" t="str">
        <f t="shared" si="24"/>
        <v/>
      </c>
      <c r="AW516" t="s">
        <v>726</v>
      </c>
    </row>
    <row r="517" spans="42:49" x14ac:dyDescent="0.3">
      <c r="AP517" t="str">
        <f t="shared" si="24"/>
        <v/>
      </c>
      <c r="AW517" t="s">
        <v>727</v>
      </c>
    </row>
    <row r="518" spans="42:49" x14ac:dyDescent="0.3">
      <c r="AP518" t="str">
        <f t="shared" si="24"/>
        <v/>
      </c>
      <c r="AW518" t="s">
        <v>728</v>
      </c>
    </row>
    <row r="519" spans="42:49" x14ac:dyDescent="0.3">
      <c r="AP519" t="str">
        <f t="shared" si="24"/>
        <v/>
      </c>
      <c r="AW519" t="s">
        <v>729</v>
      </c>
    </row>
    <row r="520" spans="42:49" x14ac:dyDescent="0.3">
      <c r="AP520" t="str">
        <f t="shared" si="24"/>
        <v/>
      </c>
      <c r="AW520" t="s">
        <v>730</v>
      </c>
    </row>
    <row r="521" spans="42:49" x14ac:dyDescent="0.3">
      <c r="AP521" t="str">
        <f t="shared" si="24"/>
        <v/>
      </c>
      <c r="AW521" t="s">
        <v>731</v>
      </c>
    </row>
    <row r="522" spans="42:49" x14ac:dyDescent="0.3">
      <c r="AP522" t="str">
        <f t="shared" si="24"/>
        <v/>
      </c>
      <c r="AW522" t="s">
        <v>732</v>
      </c>
    </row>
    <row r="523" spans="42:49" x14ac:dyDescent="0.3">
      <c r="AP523" t="str">
        <f t="shared" si="24"/>
        <v/>
      </c>
      <c r="AW523" t="s">
        <v>733</v>
      </c>
    </row>
    <row r="524" spans="42:49" x14ac:dyDescent="0.3">
      <c r="AP524" t="str">
        <f t="shared" si="24"/>
        <v/>
      </c>
      <c r="AW524" t="s">
        <v>734</v>
      </c>
    </row>
    <row r="525" spans="42:49" x14ac:dyDescent="0.3">
      <c r="AP525" t="str">
        <f t="shared" si="24"/>
        <v/>
      </c>
      <c r="AW525" t="s">
        <v>735</v>
      </c>
    </row>
    <row r="526" spans="42:49" x14ac:dyDescent="0.3">
      <c r="AP526" t="str">
        <f t="shared" si="24"/>
        <v/>
      </c>
      <c r="AW526" t="s">
        <v>736</v>
      </c>
    </row>
    <row r="527" spans="42:49" x14ac:dyDescent="0.3">
      <c r="AP527" t="str">
        <f t="shared" si="24"/>
        <v/>
      </c>
      <c r="AW527" t="s">
        <v>737</v>
      </c>
    </row>
    <row r="528" spans="42:49" x14ac:dyDescent="0.3">
      <c r="AP528" t="str">
        <f t="shared" si="24"/>
        <v/>
      </c>
      <c r="AW528" t="s">
        <v>738</v>
      </c>
    </row>
    <row r="529" spans="42:49" x14ac:dyDescent="0.3">
      <c r="AP529" t="str">
        <f t="shared" si="24"/>
        <v/>
      </c>
      <c r="AW529" t="s">
        <v>739</v>
      </c>
    </row>
    <row r="530" spans="42:49" x14ac:dyDescent="0.3">
      <c r="AP530" t="str">
        <f t="shared" si="24"/>
        <v/>
      </c>
      <c r="AW530" t="s">
        <v>740</v>
      </c>
    </row>
    <row r="531" spans="42:49" x14ac:dyDescent="0.3">
      <c r="AP531" t="str">
        <f t="shared" si="24"/>
        <v/>
      </c>
      <c r="AW531" t="s">
        <v>741</v>
      </c>
    </row>
    <row r="532" spans="42:49" x14ac:dyDescent="0.3">
      <c r="AP532" t="str">
        <f t="shared" si="24"/>
        <v/>
      </c>
      <c r="AW532" t="s">
        <v>742</v>
      </c>
    </row>
    <row r="533" spans="42:49" x14ac:dyDescent="0.3">
      <c r="AP533" t="str">
        <f t="shared" si="24"/>
        <v/>
      </c>
      <c r="AW533" t="s">
        <v>743</v>
      </c>
    </row>
    <row r="534" spans="42:49" x14ac:dyDescent="0.3">
      <c r="AP534" t="str">
        <f t="shared" si="24"/>
        <v/>
      </c>
      <c r="AW534" t="s">
        <v>744</v>
      </c>
    </row>
    <row r="535" spans="42:49" x14ac:dyDescent="0.3">
      <c r="AP535" t="str">
        <f t="shared" si="24"/>
        <v/>
      </c>
      <c r="AW535" t="s">
        <v>745</v>
      </c>
    </row>
    <row r="536" spans="42:49" x14ac:dyDescent="0.3">
      <c r="AP536" t="str">
        <f t="shared" si="24"/>
        <v/>
      </c>
      <c r="AW536" t="s">
        <v>746</v>
      </c>
    </row>
    <row r="537" spans="42:49" x14ac:dyDescent="0.3">
      <c r="AP537" t="str">
        <f t="shared" si="24"/>
        <v/>
      </c>
      <c r="AW537" t="s">
        <v>747</v>
      </c>
    </row>
    <row r="538" spans="42:49" x14ac:dyDescent="0.3">
      <c r="AP538" t="str">
        <f t="shared" si="24"/>
        <v/>
      </c>
      <c r="AW538" t="s">
        <v>748</v>
      </c>
    </row>
    <row r="539" spans="42:49" x14ac:dyDescent="0.3">
      <c r="AP539" t="str">
        <f t="shared" si="24"/>
        <v/>
      </c>
      <c r="AW539" t="s">
        <v>749</v>
      </c>
    </row>
    <row r="540" spans="42:49" x14ac:dyDescent="0.3">
      <c r="AP540" t="str">
        <f t="shared" si="24"/>
        <v/>
      </c>
      <c r="AW540" t="s">
        <v>750</v>
      </c>
    </row>
    <row r="541" spans="42:49" x14ac:dyDescent="0.3">
      <c r="AP541" t="str">
        <f t="shared" si="24"/>
        <v/>
      </c>
      <c r="AW541" t="s">
        <v>751</v>
      </c>
    </row>
    <row r="542" spans="42:49" x14ac:dyDescent="0.3">
      <c r="AP542" t="str">
        <f t="shared" si="24"/>
        <v/>
      </c>
      <c r="AW542" t="s">
        <v>752</v>
      </c>
    </row>
    <row r="543" spans="42:49" x14ac:dyDescent="0.3">
      <c r="AP543" t="str">
        <f t="shared" si="24"/>
        <v/>
      </c>
      <c r="AW543" t="s">
        <v>753</v>
      </c>
    </row>
    <row r="544" spans="42:49" x14ac:dyDescent="0.3">
      <c r="AP544" t="str">
        <f t="shared" si="24"/>
        <v/>
      </c>
      <c r="AW544" t="s">
        <v>754</v>
      </c>
    </row>
    <row r="545" spans="42:49" x14ac:dyDescent="0.3">
      <c r="AP545" t="str">
        <f t="shared" si="24"/>
        <v/>
      </c>
      <c r="AW545" t="s">
        <v>755</v>
      </c>
    </row>
    <row r="546" spans="42:49" x14ac:dyDescent="0.3">
      <c r="AP546" t="str">
        <f t="shared" si="24"/>
        <v/>
      </c>
      <c r="AW546" t="s">
        <v>756</v>
      </c>
    </row>
    <row r="547" spans="42:49" x14ac:dyDescent="0.3">
      <c r="AP547" t="str">
        <f t="shared" si="24"/>
        <v/>
      </c>
      <c r="AW547" t="s">
        <v>757</v>
      </c>
    </row>
    <row r="548" spans="42:49" x14ac:dyDescent="0.3">
      <c r="AP548" t="str">
        <f t="shared" si="24"/>
        <v/>
      </c>
      <c r="AW548" t="s">
        <v>758</v>
      </c>
    </row>
    <row r="549" spans="42:49" x14ac:dyDescent="0.3">
      <c r="AP549" t="str">
        <f t="shared" si="24"/>
        <v/>
      </c>
      <c r="AW549" t="s">
        <v>759</v>
      </c>
    </row>
    <row r="550" spans="42:49" x14ac:dyDescent="0.3">
      <c r="AP550" t="str">
        <f t="shared" si="24"/>
        <v/>
      </c>
      <c r="AW550" t="s">
        <v>760</v>
      </c>
    </row>
    <row r="551" spans="42:49" x14ac:dyDescent="0.3">
      <c r="AP551" t="str">
        <f t="shared" si="24"/>
        <v/>
      </c>
      <c r="AW551" t="s">
        <v>761</v>
      </c>
    </row>
    <row r="552" spans="42:49" x14ac:dyDescent="0.3">
      <c r="AP552" t="str">
        <f t="shared" si="24"/>
        <v/>
      </c>
      <c r="AW552" t="s">
        <v>762</v>
      </c>
    </row>
    <row r="553" spans="42:49" x14ac:dyDescent="0.3">
      <c r="AP553" t="str">
        <f t="shared" si="24"/>
        <v/>
      </c>
      <c r="AW553" t="s">
        <v>763</v>
      </c>
    </row>
    <row r="554" spans="42:49" x14ac:dyDescent="0.3">
      <c r="AP554" t="str">
        <f t="shared" si="24"/>
        <v/>
      </c>
      <c r="AW554" t="s">
        <v>764</v>
      </c>
    </row>
    <row r="555" spans="42:49" x14ac:dyDescent="0.3">
      <c r="AP555" t="str">
        <f t="shared" si="24"/>
        <v/>
      </c>
      <c r="AW555" t="s">
        <v>765</v>
      </c>
    </row>
    <row r="556" spans="42:49" x14ac:dyDescent="0.3">
      <c r="AP556" t="str">
        <f t="shared" si="24"/>
        <v/>
      </c>
      <c r="AW556" t="s">
        <v>766</v>
      </c>
    </row>
    <row r="557" spans="42:49" x14ac:dyDescent="0.3">
      <c r="AP557" t="str">
        <f t="shared" si="24"/>
        <v/>
      </c>
      <c r="AW557" t="s">
        <v>767</v>
      </c>
    </row>
    <row r="558" spans="42:49" x14ac:dyDescent="0.3">
      <c r="AP558" t="str">
        <f t="shared" si="24"/>
        <v/>
      </c>
      <c r="AW558" t="s">
        <v>768</v>
      </c>
    </row>
    <row r="559" spans="42:49" x14ac:dyDescent="0.3">
      <c r="AP559" t="str">
        <f t="shared" si="24"/>
        <v/>
      </c>
      <c r="AW559" t="s">
        <v>769</v>
      </c>
    </row>
    <row r="560" spans="42:49" x14ac:dyDescent="0.3">
      <c r="AP560" t="str">
        <f t="shared" si="24"/>
        <v/>
      </c>
      <c r="AW560" t="s">
        <v>770</v>
      </c>
    </row>
    <row r="561" spans="42:49" x14ac:dyDescent="0.3">
      <c r="AP561" t="str">
        <f t="shared" si="24"/>
        <v/>
      </c>
      <c r="AW561" t="s">
        <v>771</v>
      </c>
    </row>
    <row r="562" spans="42:49" x14ac:dyDescent="0.3">
      <c r="AP562" t="str">
        <f t="shared" si="24"/>
        <v/>
      </c>
      <c r="AW562" t="s">
        <v>772</v>
      </c>
    </row>
    <row r="563" spans="42:49" x14ac:dyDescent="0.3">
      <c r="AP563" t="str">
        <f t="shared" si="24"/>
        <v/>
      </c>
      <c r="AW563" t="s">
        <v>773</v>
      </c>
    </row>
    <row r="564" spans="42:49" x14ac:dyDescent="0.3">
      <c r="AP564" t="str">
        <f t="shared" si="24"/>
        <v/>
      </c>
      <c r="AW564" t="s">
        <v>774</v>
      </c>
    </row>
    <row r="565" spans="42:49" x14ac:dyDescent="0.3">
      <c r="AP565" t="str">
        <f t="shared" si="24"/>
        <v/>
      </c>
      <c r="AW565" t="s">
        <v>775</v>
      </c>
    </row>
    <row r="566" spans="42:49" x14ac:dyDescent="0.3">
      <c r="AP566" t="str">
        <f t="shared" si="24"/>
        <v/>
      </c>
      <c r="AW566" t="s">
        <v>776</v>
      </c>
    </row>
    <row r="567" spans="42:49" x14ac:dyDescent="0.3">
      <c r="AP567" t="str">
        <f t="shared" si="24"/>
        <v/>
      </c>
      <c r="AW567" t="s">
        <v>777</v>
      </c>
    </row>
    <row r="568" spans="42:49" x14ac:dyDescent="0.3">
      <c r="AP568" t="str">
        <f t="shared" si="24"/>
        <v/>
      </c>
      <c r="AW568" t="s">
        <v>778</v>
      </c>
    </row>
    <row r="569" spans="42:49" x14ac:dyDescent="0.3">
      <c r="AP569" t="str">
        <f t="shared" si="24"/>
        <v/>
      </c>
      <c r="AW569" t="s">
        <v>779</v>
      </c>
    </row>
    <row r="570" spans="42:49" x14ac:dyDescent="0.3">
      <c r="AP570" t="str">
        <f t="shared" si="24"/>
        <v/>
      </c>
      <c r="AW570" t="s">
        <v>780</v>
      </c>
    </row>
    <row r="571" spans="42:49" x14ac:dyDescent="0.3">
      <c r="AP571" t="str">
        <f t="shared" si="24"/>
        <v/>
      </c>
      <c r="AW571" t="s">
        <v>781</v>
      </c>
    </row>
    <row r="572" spans="42:49" x14ac:dyDescent="0.3">
      <c r="AP572" t="str">
        <f t="shared" si="24"/>
        <v/>
      </c>
      <c r="AW572" t="s">
        <v>782</v>
      </c>
    </row>
    <row r="573" spans="42:49" x14ac:dyDescent="0.3">
      <c r="AP573" t="str">
        <f t="shared" si="24"/>
        <v/>
      </c>
      <c r="AW573" t="s">
        <v>783</v>
      </c>
    </row>
    <row r="574" spans="42:49" x14ac:dyDescent="0.3">
      <c r="AP574" t="str">
        <f t="shared" si="24"/>
        <v/>
      </c>
      <c r="AW574" t="s">
        <v>784</v>
      </c>
    </row>
    <row r="575" spans="42:49" x14ac:dyDescent="0.3">
      <c r="AP575" t="str">
        <f t="shared" si="24"/>
        <v/>
      </c>
      <c r="AW575" t="s">
        <v>785</v>
      </c>
    </row>
    <row r="576" spans="42:49" x14ac:dyDescent="0.3">
      <c r="AP576" t="str">
        <f t="shared" si="24"/>
        <v/>
      </c>
      <c r="AW576" t="s">
        <v>786</v>
      </c>
    </row>
    <row r="577" spans="42:49" x14ac:dyDescent="0.3">
      <c r="AP577" t="str">
        <f t="shared" si="24"/>
        <v/>
      </c>
      <c r="AW577" t="s">
        <v>787</v>
      </c>
    </row>
    <row r="578" spans="42:49" x14ac:dyDescent="0.3">
      <c r="AP578" t="str">
        <f t="shared" si="24"/>
        <v/>
      </c>
      <c r="AW578" t="s">
        <v>788</v>
      </c>
    </row>
    <row r="579" spans="42:49" x14ac:dyDescent="0.3">
      <c r="AP579" t="str">
        <f t="shared" ref="AP579:AP642" si="25">IF($Y579="","",
SUM($Y579,$AI579,$AM579,$AJ579,$AL579,$AK579,$AN579,$AD579,$AF579,$AG579)-
IF($AO579="",0,VALUE($AO579)))</f>
        <v/>
      </c>
      <c r="AW579" t="s">
        <v>789</v>
      </c>
    </row>
    <row r="580" spans="42:49" x14ac:dyDescent="0.3">
      <c r="AP580" t="str">
        <f t="shared" si="25"/>
        <v/>
      </c>
      <c r="AW580" t="s">
        <v>790</v>
      </c>
    </row>
    <row r="581" spans="42:49" x14ac:dyDescent="0.3">
      <c r="AP581" t="str">
        <f t="shared" si="25"/>
        <v/>
      </c>
      <c r="AW581" t="s">
        <v>791</v>
      </c>
    </row>
    <row r="582" spans="42:49" x14ac:dyDescent="0.3">
      <c r="AP582" t="str">
        <f t="shared" si="25"/>
        <v/>
      </c>
      <c r="AW582" t="s">
        <v>792</v>
      </c>
    </row>
    <row r="583" spans="42:49" x14ac:dyDescent="0.3">
      <c r="AP583" t="str">
        <f t="shared" si="25"/>
        <v/>
      </c>
      <c r="AW583" t="s">
        <v>793</v>
      </c>
    </row>
    <row r="584" spans="42:49" x14ac:dyDescent="0.3">
      <c r="AP584" t="str">
        <f t="shared" si="25"/>
        <v/>
      </c>
      <c r="AW584" t="s">
        <v>794</v>
      </c>
    </row>
    <row r="585" spans="42:49" x14ac:dyDescent="0.3">
      <c r="AP585" t="str">
        <f t="shared" si="25"/>
        <v/>
      </c>
      <c r="AW585" t="s">
        <v>795</v>
      </c>
    </row>
    <row r="586" spans="42:49" x14ac:dyDescent="0.3">
      <c r="AP586" t="str">
        <f t="shared" si="25"/>
        <v/>
      </c>
      <c r="AW586" t="s">
        <v>796</v>
      </c>
    </row>
    <row r="587" spans="42:49" x14ac:dyDescent="0.3">
      <c r="AP587" t="str">
        <f t="shared" si="25"/>
        <v/>
      </c>
      <c r="AW587" t="s">
        <v>797</v>
      </c>
    </row>
    <row r="588" spans="42:49" x14ac:dyDescent="0.3">
      <c r="AP588" t="str">
        <f t="shared" si="25"/>
        <v/>
      </c>
      <c r="AW588" t="s">
        <v>798</v>
      </c>
    </row>
    <row r="589" spans="42:49" x14ac:dyDescent="0.3">
      <c r="AP589" t="str">
        <f t="shared" si="25"/>
        <v/>
      </c>
      <c r="AW589" t="s">
        <v>799</v>
      </c>
    </row>
    <row r="590" spans="42:49" x14ac:dyDescent="0.3">
      <c r="AP590" t="str">
        <f t="shared" si="25"/>
        <v/>
      </c>
      <c r="AW590" t="s">
        <v>800</v>
      </c>
    </row>
    <row r="591" spans="42:49" x14ac:dyDescent="0.3">
      <c r="AP591" t="str">
        <f t="shared" si="25"/>
        <v/>
      </c>
      <c r="AW591" t="s">
        <v>801</v>
      </c>
    </row>
    <row r="592" spans="42:49" x14ac:dyDescent="0.3">
      <c r="AP592" t="str">
        <f t="shared" si="25"/>
        <v/>
      </c>
      <c r="AW592" t="s">
        <v>802</v>
      </c>
    </row>
    <row r="593" spans="42:49" x14ac:dyDescent="0.3">
      <c r="AP593" t="str">
        <f t="shared" si="25"/>
        <v/>
      </c>
      <c r="AW593" t="s">
        <v>803</v>
      </c>
    </row>
    <row r="594" spans="42:49" x14ac:dyDescent="0.3">
      <c r="AP594" t="str">
        <f t="shared" si="25"/>
        <v/>
      </c>
      <c r="AW594" t="s">
        <v>804</v>
      </c>
    </row>
    <row r="595" spans="42:49" x14ac:dyDescent="0.3">
      <c r="AP595" t="str">
        <f t="shared" si="25"/>
        <v/>
      </c>
      <c r="AW595" t="s">
        <v>805</v>
      </c>
    </row>
    <row r="596" spans="42:49" x14ac:dyDescent="0.3">
      <c r="AP596" t="str">
        <f t="shared" si="25"/>
        <v/>
      </c>
      <c r="AW596" t="s">
        <v>806</v>
      </c>
    </row>
    <row r="597" spans="42:49" x14ac:dyDescent="0.3">
      <c r="AP597" t="str">
        <f t="shared" si="25"/>
        <v/>
      </c>
      <c r="AW597" t="s">
        <v>807</v>
      </c>
    </row>
    <row r="598" spans="42:49" x14ac:dyDescent="0.3">
      <c r="AP598" t="str">
        <f t="shared" si="25"/>
        <v/>
      </c>
      <c r="AW598" t="s">
        <v>808</v>
      </c>
    </row>
    <row r="599" spans="42:49" x14ac:dyDescent="0.3">
      <c r="AP599" t="str">
        <f t="shared" si="25"/>
        <v/>
      </c>
      <c r="AW599" t="s">
        <v>809</v>
      </c>
    </row>
    <row r="600" spans="42:49" x14ac:dyDescent="0.3">
      <c r="AP600" t="str">
        <f t="shared" si="25"/>
        <v/>
      </c>
      <c r="AW600" t="s">
        <v>810</v>
      </c>
    </row>
    <row r="601" spans="42:49" x14ac:dyDescent="0.3">
      <c r="AP601" t="str">
        <f t="shared" si="25"/>
        <v/>
      </c>
      <c r="AW601" t="s">
        <v>811</v>
      </c>
    </row>
    <row r="602" spans="42:49" x14ac:dyDescent="0.3">
      <c r="AP602" t="str">
        <f t="shared" si="25"/>
        <v/>
      </c>
      <c r="AW602" t="s">
        <v>812</v>
      </c>
    </row>
    <row r="603" spans="42:49" x14ac:dyDescent="0.3">
      <c r="AP603" t="str">
        <f t="shared" si="25"/>
        <v/>
      </c>
      <c r="AW603" t="s">
        <v>813</v>
      </c>
    </row>
    <row r="604" spans="42:49" x14ac:dyDescent="0.3">
      <c r="AP604" t="str">
        <f t="shared" si="25"/>
        <v/>
      </c>
      <c r="AW604" t="s">
        <v>814</v>
      </c>
    </row>
    <row r="605" spans="42:49" x14ac:dyDescent="0.3">
      <c r="AP605" t="str">
        <f t="shared" si="25"/>
        <v/>
      </c>
      <c r="AW605" t="s">
        <v>815</v>
      </c>
    </row>
    <row r="606" spans="42:49" x14ac:dyDescent="0.3">
      <c r="AP606" t="str">
        <f t="shared" si="25"/>
        <v/>
      </c>
      <c r="AW606" t="s">
        <v>816</v>
      </c>
    </row>
    <row r="607" spans="42:49" x14ac:dyDescent="0.3">
      <c r="AP607" t="str">
        <f t="shared" si="25"/>
        <v/>
      </c>
      <c r="AW607" t="s">
        <v>817</v>
      </c>
    </row>
    <row r="608" spans="42:49" x14ac:dyDescent="0.3">
      <c r="AP608" t="str">
        <f t="shared" si="25"/>
        <v/>
      </c>
      <c r="AW608" t="s">
        <v>818</v>
      </c>
    </row>
    <row r="609" spans="42:49" x14ac:dyDescent="0.3">
      <c r="AP609" t="str">
        <f t="shared" si="25"/>
        <v/>
      </c>
      <c r="AW609" t="s">
        <v>819</v>
      </c>
    </row>
    <row r="610" spans="42:49" x14ac:dyDescent="0.3">
      <c r="AP610" t="str">
        <f t="shared" si="25"/>
        <v/>
      </c>
      <c r="AW610" t="s">
        <v>820</v>
      </c>
    </row>
    <row r="611" spans="42:49" x14ac:dyDescent="0.3">
      <c r="AP611" t="str">
        <f t="shared" si="25"/>
        <v/>
      </c>
      <c r="AW611" t="s">
        <v>821</v>
      </c>
    </row>
    <row r="612" spans="42:49" x14ac:dyDescent="0.3">
      <c r="AP612" t="str">
        <f t="shared" si="25"/>
        <v/>
      </c>
      <c r="AW612" t="s">
        <v>822</v>
      </c>
    </row>
    <row r="613" spans="42:49" x14ac:dyDescent="0.3">
      <c r="AP613" t="str">
        <f t="shared" si="25"/>
        <v/>
      </c>
      <c r="AW613" t="s">
        <v>823</v>
      </c>
    </row>
    <row r="614" spans="42:49" x14ac:dyDescent="0.3">
      <c r="AP614" t="str">
        <f t="shared" si="25"/>
        <v/>
      </c>
      <c r="AW614" t="s">
        <v>824</v>
      </c>
    </row>
    <row r="615" spans="42:49" x14ac:dyDescent="0.3">
      <c r="AP615" t="str">
        <f t="shared" si="25"/>
        <v/>
      </c>
      <c r="AW615" t="s">
        <v>825</v>
      </c>
    </row>
    <row r="616" spans="42:49" x14ac:dyDescent="0.3">
      <c r="AP616" t="str">
        <f t="shared" si="25"/>
        <v/>
      </c>
      <c r="AW616" t="s">
        <v>826</v>
      </c>
    </row>
    <row r="617" spans="42:49" x14ac:dyDescent="0.3">
      <c r="AP617" t="str">
        <f t="shared" si="25"/>
        <v/>
      </c>
      <c r="AW617" t="s">
        <v>827</v>
      </c>
    </row>
    <row r="618" spans="42:49" x14ac:dyDescent="0.3">
      <c r="AP618" t="str">
        <f t="shared" si="25"/>
        <v/>
      </c>
      <c r="AW618" t="s">
        <v>828</v>
      </c>
    </row>
    <row r="619" spans="42:49" x14ac:dyDescent="0.3">
      <c r="AP619" t="str">
        <f t="shared" si="25"/>
        <v/>
      </c>
      <c r="AW619" t="s">
        <v>829</v>
      </c>
    </row>
    <row r="620" spans="42:49" x14ac:dyDescent="0.3">
      <c r="AP620" t="str">
        <f t="shared" si="25"/>
        <v/>
      </c>
      <c r="AW620" t="s">
        <v>830</v>
      </c>
    </row>
    <row r="621" spans="42:49" x14ac:dyDescent="0.3">
      <c r="AP621" t="str">
        <f t="shared" si="25"/>
        <v/>
      </c>
      <c r="AW621" t="s">
        <v>831</v>
      </c>
    </row>
    <row r="622" spans="42:49" x14ac:dyDescent="0.3">
      <c r="AP622" t="str">
        <f t="shared" si="25"/>
        <v/>
      </c>
      <c r="AW622" t="s">
        <v>832</v>
      </c>
    </row>
    <row r="623" spans="42:49" x14ac:dyDescent="0.3">
      <c r="AP623" t="str">
        <f t="shared" si="25"/>
        <v/>
      </c>
      <c r="AW623" t="s">
        <v>833</v>
      </c>
    </row>
    <row r="624" spans="42:49" x14ac:dyDescent="0.3">
      <c r="AP624" t="str">
        <f t="shared" si="25"/>
        <v/>
      </c>
      <c r="AW624" t="s">
        <v>834</v>
      </c>
    </row>
    <row r="625" spans="42:49" x14ac:dyDescent="0.3">
      <c r="AP625" t="str">
        <f t="shared" si="25"/>
        <v/>
      </c>
      <c r="AW625" t="s">
        <v>835</v>
      </c>
    </row>
    <row r="626" spans="42:49" x14ac:dyDescent="0.3">
      <c r="AP626" t="str">
        <f t="shared" si="25"/>
        <v/>
      </c>
      <c r="AW626" t="s">
        <v>836</v>
      </c>
    </row>
    <row r="627" spans="42:49" x14ac:dyDescent="0.3">
      <c r="AP627" t="str">
        <f t="shared" si="25"/>
        <v/>
      </c>
      <c r="AW627" t="s">
        <v>837</v>
      </c>
    </row>
    <row r="628" spans="42:49" x14ac:dyDescent="0.3">
      <c r="AP628" t="str">
        <f t="shared" si="25"/>
        <v/>
      </c>
      <c r="AW628" t="s">
        <v>838</v>
      </c>
    </row>
    <row r="629" spans="42:49" x14ac:dyDescent="0.3">
      <c r="AP629" t="str">
        <f t="shared" si="25"/>
        <v/>
      </c>
      <c r="AW629" t="s">
        <v>839</v>
      </c>
    </row>
    <row r="630" spans="42:49" x14ac:dyDescent="0.3">
      <c r="AP630" t="str">
        <f t="shared" si="25"/>
        <v/>
      </c>
      <c r="AW630" t="s">
        <v>840</v>
      </c>
    </row>
    <row r="631" spans="42:49" x14ac:dyDescent="0.3">
      <c r="AP631" t="str">
        <f t="shared" si="25"/>
        <v/>
      </c>
      <c r="AW631" t="s">
        <v>841</v>
      </c>
    </row>
    <row r="632" spans="42:49" x14ac:dyDescent="0.3">
      <c r="AP632" t="str">
        <f t="shared" si="25"/>
        <v/>
      </c>
      <c r="AW632" t="s">
        <v>842</v>
      </c>
    </row>
    <row r="633" spans="42:49" x14ac:dyDescent="0.3">
      <c r="AP633" t="str">
        <f t="shared" si="25"/>
        <v/>
      </c>
      <c r="AW633" t="s">
        <v>843</v>
      </c>
    </row>
    <row r="634" spans="42:49" x14ac:dyDescent="0.3">
      <c r="AP634" t="str">
        <f t="shared" si="25"/>
        <v/>
      </c>
      <c r="AW634" t="s">
        <v>844</v>
      </c>
    </row>
    <row r="635" spans="42:49" x14ac:dyDescent="0.3">
      <c r="AP635" t="str">
        <f t="shared" si="25"/>
        <v/>
      </c>
      <c r="AW635" t="s">
        <v>845</v>
      </c>
    </row>
    <row r="636" spans="42:49" x14ac:dyDescent="0.3">
      <c r="AP636" t="str">
        <f t="shared" si="25"/>
        <v/>
      </c>
      <c r="AW636" t="s">
        <v>846</v>
      </c>
    </row>
    <row r="637" spans="42:49" x14ac:dyDescent="0.3">
      <c r="AP637" t="str">
        <f t="shared" si="25"/>
        <v/>
      </c>
      <c r="AW637" t="s">
        <v>847</v>
      </c>
    </row>
    <row r="638" spans="42:49" x14ac:dyDescent="0.3">
      <c r="AP638" t="str">
        <f t="shared" si="25"/>
        <v/>
      </c>
      <c r="AW638" t="s">
        <v>848</v>
      </c>
    </row>
    <row r="639" spans="42:49" x14ac:dyDescent="0.3">
      <c r="AP639" t="str">
        <f t="shared" si="25"/>
        <v/>
      </c>
      <c r="AW639" t="s">
        <v>849</v>
      </c>
    </row>
    <row r="640" spans="42:49" x14ac:dyDescent="0.3">
      <c r="AP640" t="str">
        <f t="shared" si="25"/>
        <v/>
      </c>
      <c r="AW640" t="s">
        <v>850</v>
      </c>
    </row>
    <row r="641" spans="42:49" x14ac:dyDescent="0.3">
      <c r="AP641" t="str">
        <f t="shared" si="25"/>
        <v/>
      </c>
      <c r="AW641" t="s">
        <v>851</v>
      </c>
    </row>
    <row r="642" spans="42:49" x14ac:dyDescent="0.3">
      <c r="AP642" t="str">
        <f t="shared" si="25"/>
        <v/>
      </c>
      <c r="AW642" t="s">
        <v>852</v>
      </c>
    </row>
    <row r="643" spans="42:49" x14ac:dyDescent="0.3">
      <c r="AP643" t="str">
        <f t="shared" ref="AP643:AP706" si="26">IF($Y643="","",
SUM($Y643,$AI643,$AM643,$AJ643,$AL643,$AK643,$AN643,$AD643,$AF643,$AG643)-
IF($AO643="",0,VALUE($AO643)))</f>
        <v/>
      </c>
      <c r="AW643" t="s">
        <v>853</v>
      </c>
    </row>
    <row r="644" spans="42:49" x14ac:dyDescent="0.3">
      <c r="AP644" t="str">
        <f t="shared" si="26"/>
        <v/>
      </c>
      <c r="AW644" t="s">
        <v>854</v>
      </c>
    </row>
    <row r="645" spans="42:49" x14ac:dyDescent="0.3">
      <c r="AP645" t="str">
        <f t="shared" si="26"/>
        <v/>
      </c>
      <c r="AW645" t="s">
        <v>855</v>
      </c>
    </row>
    <row r="646" spans="42:49" x14ac:dyDescent="0.3">
      <c r="AP646" t="str">
        <f t="shared" si="26"/>
        <v/>
      </c>
      <c r="AW646" t="s">
        <v>856</v>
      </c>
    </row>
    <row r="647" spans="42:49" x14ac:dyDescent="0.3">
      <c r="AP647" t="str">
        <f t="shared" si="26"/>
        <v/>
      </c>
      <c r="AW647" t="s">
        <v>857</v>
      </c>
    </row>
    <row r="648" spans="42:49" x14ac:dyDescent="0.3">
      <c r="AP648" t="str">
        <f t="shared" si="26"/>
        <v/>
      </c>
      <c r="AW648" t="s">
        <v>858</v>
      </c>
    </row>
    <row r="649" spans="42:49" x14ac:dyDescent="0.3">
      <c r="AP649" t="str">
        <f t="shared" si="26"/>
        <v/>
      </c>
      <c r="AW649" t="s">
        <v>859</v>
      </c>
    </row>
    <row r="650" spans="42:49" x14ac:dyDescent="0.3">
      <c r="AP650" t="str">
        <f t="shared" si="26"/>
        <v/>
      </c>
      <c r="AW650" t="s">
        <v>860</v>
      </c>
    </row>
    <row r="651" spans="42:49" x14ac:dyDescent="0.3">
      <c r="AP651" t="str">
        <f t="shared" si="26"/>
        <v/>
      </c>
      <c r="AW651" t="s">
        <v>861</v>
      </c>
    </row>
    <row r="652" spans="42:49" x14ac:dyDescent="0.3">
      <c r="AP652" t="str">
        <f t="shared" si="26"/>
        <v/>
      </c>
      <c r="AW652" t="s">
        <v>862</v>
      </c>
    </row>
    <row r="653" spans="42:49" x14ac:dyDescent="0.3">
      <c r="AP653" t="str">
        <f t="shared" si="26"/>
        <v/>
      </c>
      <c r="AW653" t="s">
        <v>863</v>
      </c>
    </row>
    <row r="654" spans="42:49" x14ac:dyDescent="0.3">
      <c r="AP654" t="str">
        <f t="shared" si="26"/>
        <v/>
      </c>
      <c r="AW654" t="s">
        <v>864</v>
      </c>
    </row>
    <row r="655" spans="42:49" x14ac:dyDescent="0.3">
      <c r="AP655" t="str">
        <f t="shared" si="26"/>
        <v/>
      </c>
      <c r="AW655" t="s">
        <v>865</v>
      </c>
    </row>
    <row r="656" spans="42:49" x14ac:dyDescent="0.3">
      <c r="AP656" t="str">
        <f t="shared" si="26"/>
        <v/>
      </c>
      <c r="AW656" t="s">
        <v>866</v>
      </c>
    </row>
    <row r="657" spans="42:49" x14ac:dyDescent="0.3">
      <c r="AP657" t="str">
        <f t="shared" si="26"/>
        <v/>
      </c>
      <c r="AW657" t="s">
        <v>867</v>
      </c>
    </row>
    <row r="658" spans="42:49" x14ac:dyDescent="0.3">
      <c r="AP658" t="str">
        <f t="shared" si="26"/>
        <v/>
      </c>
      <c r="AW658" t="s">
        <v>868</v>
      </c>
    </row>
    <row r="659" spans="42:49" x14ac:dyDescent="0.3">
      <c r="AP659" t="str">
        <f t="shared" si="26"/>
        <v/>
      </c>
      <c r="AW659" t="s">
        <v>869</v>
      </c>
    </row>
    <row r="660" spans="42:49" x14ac:dyDescent="0.3">
      <c r="AP660" t="str">
        <f t="shared" si="26"/>
        <v/>
      </c>
      <c r="AW660" t="s">
        <v>870</v>
      </c>
    </row>
    <row r="661" spans="42:49" x14ac:dyDescent="0.3">
      <c r="AP661" t="str">
        <f t="shared" si="26"/>
        <v/>
      </c>
      <c r="AW661" t="s">
        <v>871</v>
      </c>
    </row>
    <row r="662" spans="42:49" x14ac:dyDescent="0.3">
      <c r="AP662" t="str">
        <f t="shared" si="26"/>
        <v/>
      </c>
      <c r="AW662" t="s">
        <v>872</v>
      </c>
    </row>
    <row r="663" spans="42:49" x14ac:dyDescent="0.3">
      <c r="AP663" t="str">
        <f t="shared" si="26"/>
        <v/>
      </c>
      <c r="AW663" t="s">
        <v>873</v>
      </c>
    </row>
    <row r="664" spans="42:49" x14ac:dyDescent="0.3">
      <c r="AP664" t="str">
        <f t="shared" si="26"/>
        <v/>
      </c>
      <c r="AW664" t="s">
        <v>874</v>
      </c>
    </row>
    <row r="665" spans="42:49" x14ac:dyDescent="0.3">
      <c r="AP665" t="str">
        <f t="shared" si="26"/>
        <v/>
      </c>
      <c r="AW665" t="s">
        <v>875</v>
      </c>
    </row>
    <row r="666" spans="42:49" x14ac:dyDescent="0.3">
      <c r="AP666" t="str">
        <f t="shared" si="26"/>
        <v/>
      </c>
      <c r="AW666" t="s">
        <v>876</v>
      </c>
    </row>
    <row r="667" spans="42:49" x14ac:dyDescent="0.3">
      <c r="AP667" t="str">
        <f t="shared" si="26"/>
        <v/>
      </c>
      <c r="AW667" t="s">
        <v>877</v>
      </c>
    </row>
    <row r="668" spans="42:49" x14ac:dyDescent="0.3">
      <c r="AP668" t="str">
        <f t="shared" si="26"/>
        <v/>
      </c>
      <c r="AW668" t="s">
        <v>878</v>
      </c>
    </row>
    <row r="669" spans="42:49" x14ac:dyDescent="0.3">
      <c r="AP669" t="str">
        <f t="shared" si="26"/>
        <v/>
      </c>
      <c r="AW669" t="s">
        <v>879</v>
      </c>
    </row>
    <row r="670" spans="42:49" x14ac:dyDescent="0.3">
      <c r="AP670" t="str">
        <f t="shared" si="26"/>
        <v/>
      </c>
      <c r="AW670" t="s">
        <v>880</v>
      </c>
    </row>
    <row r="671" spans="42:49" x14ac:dyDescent="0.3">
      <c r="AP671" t="str">
        <f t="shared" si="26"/>
        <v/>
      </c>
      <c r="AW671" t="s">
        <v>881</v>
      </c>
    </row>
    <row r="672" spans="42:49" x14ac:dyDescent="0.3">
      <c r="AP672" t="str">
        <f t="shared" si="26"/>
        <v/>
      </c>
      <c r="AW672" t="s">
        <v>882</v>
      </c>
    </row>
    <row r="673" spans="42:49" x14ac:dyDescent="0.3">
      <c r="AP673" t="str">
        <f t="shared" si="26"/>
        <v/>
      </c>
      <c r="AW673" t="s">
        <v>883</v>
      </c>
    </row>
    <row r="674" spans="42:49" x14ac:dyDescent="0.3">
      <c r="AP674" t="str">
        <f t="shared" si="26"/>
        <v/>
      </c>
      <c r="AW674" t="s">
        <v>884</v>
      </c>
    </row>
    <row r="675" spans="42:49" x14ac:dyDescent="0.3">
      <c r="AP675" t="str">
        <f t="shared" si="26"/>
        <v/>
      </c>
      <c r="AW675" t="s">
        <v>885</v>
      </c>
    </row>
    <row r="676" spans="42:49" x14ac:dyDescent="0.3">
      <c r="AP676" t="str">
        <f t="shared" si="26"/>
        <v/>
      </c>
      <c r="AW676" t="s">
        <v>886</v>
      </c>
    </row>
    <row r="677" spans="42:49" x14ac:dyDescent="0.3">
      <c r="AP677" t="str">
        <f t="shared" si="26"/>
        <v/>
      </c>
      <c r="AW677" t="s">
        <v>887</v>
      </c>
    </row>
    <row r="678" spans="42:49" x14ac:dyDescent="0.3">
      <c r="AP678" t="str">
        <f t="shared" si="26"/>
        <v/>
      </c>
      <c r="AW678" t="s">
        <v>888</v>
      </c>
    </row>
    <row r="679" spans="42:49" x14ac:dyDescent="0.3">
      <c r="AP679" t="str">
        <f t="shared" si="26"/>
        <v/>
      </c>
      <c r="AW679" t="s">
        <v>889</v>
      </c>
    </row>
    <row r="680" spans="42:49" x14ac:dyDescent="0.3">
      <c r="AP680" t="str">
        <f t="shared" si="26"/>
        <v/>
      </c>
      <c r="AW680" t="s">
        <v>890</v>
      </c>
    </row>
    <row r="681" spans="42:49" x14ac:dyDescent="0.3">
      <c r="AP681" t="str">
        <f t="shared" si="26"/>
        <v/>
      </c>
      <c r="AW681" t="s">
        <v>891</v>
      </c>
    </row>
    <row r="682" spans="42:49" x14ac:dyDescent="0.3">
      <c r="AP682" t="str">
        <f t="shared" si="26"/>
        <v/>
      </c>
      <c r="AW682" t="s">
        <v>892</v>
      </c>
    </row>
    <row r="683" spans="42:49" x14ac:dyDescent="0.3">
      <c r="AP683" t="str">
        <f t="shared" si="26"/>
        <v/>
      </c>
      <c r="AW683" t="s">
        <v>893</v>
      </c>
    </row>
    <row r="684" spans="42:49" x14ac:dyDescent="0.3">
      <c r="AP684" t="str">
        <f t="shared" si="26"/>
        <v/>
      </c>
      <c r="AW684" t="s">
        <v>894</v>
      </c>
    </row>
    <row r="685" spans="42:49" x14ac:dyDescent="0.3">
      <c r="AP685" t="str">
        <f t="shared" si="26"/>
        <v/>
      </c>
      <c r="AW685" t="s">
        <v>895</v>
      </c>
    </row>
    <row r="686" spans="42:49" x14ac:dyDescent="0.3">
      <c r="AP686" t="str">
        <f t="shared" si="26"/>
        <v/>
      </c>
      <c r="AW686" t="s">
        <v>896</v>
      </c>
    </row>
    <row r="687" spans="42:49" x14ac:dyDescent="0.3">
      <c r="AP687" t="str">
        <f t="shared" si="26"/>
        <v/>
      </c>
      <c r="AW687" t="s">
        <v>897</v>
      </c>
    </row>
    <row r="688" spans="42:49" x14ac:dyDescent="0.3">
      <c r="AP688" t="str">
        <f t="shared" si="26"/>
        <v/>
      </c>
      <c r="AW688" t="s">
        <v>898</v>
      </c>
    </row>
    <row r="689" spans="42:49" x14ac:dyDescent="0.3">
      <c r="AP689" t="str">
        <f t="shared" si="26"/>
        <v/>
      </c>
      <c r="AW689" t="s">
        <v>899</v>
      </c>
    </row>
    <row r="690" spans="42:49" x14ac:dyDescent="0.3">
      <c r="AP690" t="str">
        <f t="shared" si="26"/>
        <v/>
      </c>
      <c r="AW690" t="s">
        <v>900</v>
      </c>
    </row>
    <row r="691" spans="42:49" x14ac:dyDescent="0.3">
      <c r="AP691" t="str">
        <f t="shared" si="26"/>
        <v/>
      </c>
      <c r="AW691" t="s">
        <v>901</v>
      </c>
    </row>
    <row r="692" spans="42:49" x14ac:dyDescent="0.3">
      <c r="AP692" t="str">
        <f t="shared" si="26"/>
        <v/>
      </c>
      <c r="AW692" t="s">
        <v>902</v>
      </c>
    </row>
    <row r="693" spans="42:49" x14ac:dyDescent="0.3">
      <c r="AP693" t="str">
        <f t="shared" si="26"/>
        <v/>
      </c>
      <c r="AW693" t="s">
        <v>903</v>
      </c>
    </row>
    <row r="694" spans="42:49" x14ac:dyDescent="0.3">
      <c r="AP694" t="str">
        <f t="shared" si="26"/>
        <v/>
      </c>
      <c r="AW694" t="s">
        <v>904</v>
      </c>
    </row>
    <row r="695" spans="42:49" x14ac:dyDescent="0.3">
      <c r="AP695" t="str">
        <f t="shared" si="26"/>
        <v/>
      </c>
      <c r="AW695" t="s">
        <v>905</v>
      </c>
    </row>
    <row r="696" spans="42:49" x14ac:dyDescent="0.3">
      <c r="AP696" t="str">
        <f t="shared" si="26"/>
        <v/>
      </c>
      <c r="AW696" t="s">
        <v>906</v>
      </c>
    </row>
    <row r="697" spans="42:49" x14ac:dyDescent="0.3">
      <c r="AP697" t="str">
        <f t="shared" si="26"/>
        <v/>
      </c>
      <c r="AW697" t="s">
        <v>907</v>
      </c>
    </row>
    <row r="698" spans="42:49" x14ac:dyDescent="0.3">
      <c r="AP698" t="str">
        <f t="shared" si="26"/>
        <v/>
      </c>
      <c r="AW698" t="s">
        <v>908</v>
      </c>
    </row>
    <row r="699" spans="42:49" x14ac:dyDescent="0.3">
      <c r="AP699" t="str">
        <f t="shared" si="26"/>
        <v/>
      </c>
      <c r="AW699" t="s">
        <v>909</v>
      </c>
    </row>
    <row r="700" spans="42:49" x14ac:dyDescent="0.3">
      <c r="AP700" t="str">
        <f t="shared" si="26"/>
        <v/>
      </c>
      <c r="AW700" t="s">
        <v>910</v>
      </c>
    </row>
    <row r="701" spans="42:49" x14ac:dyDescent="0.3">
      <c r="AP701" t="str">
        <f t="shared" si="26"/>
        <v/>
      </c>
      <c r="AW701" t="s">
        <v>911</v>
      </c>
    </row>
    <row r="702" spans="42:49" x14ac:dyDescent="0.3">
      <c r="AP702" t="str">
        <f t="shared" si="26"/>
        <v/>
      </c>
      <c r="AW702" t="s">
        <v>912</v>
      </c>
    </row>
    <row r="703" spans="42:49" x14ac:dyDescent="0.3">
      <c r="AP703" t="str">
        <f t="shared" si="26"/>
        <v/>
      </c>
      <c r="AW703" t="s">
        <v>913</v>
      </c>
    </row>
    <row r="704" spans="42:49" x14ac:dyDescent="0.3">
      <c r="AP704" t="str">
        <f t="shared" si="26"/>
        <v/>
      </c>
      <c r="AW704" t="s">
        <v>914</v>
      </c>
    </row>
    <row r="705" spans="42:49" x14ac:dyDescent="0.3">
      <c r="AP705" t="str">
        <f t="shared" si="26"/>
        <v/>
      </c>
      <c r="AW705" t="s">
        <v>915</v>
      </c>
    </row>
    <row r="706" spans="42:49" x14ac:dyDescent="0.3">
      <c r="AP706" t="str">
        <f t="shared" si="26"/>
        <v/>
      </c>
      <c r="AW706" t="s">
        <v>916</v>
      </c>
    </row>
    <row r="707" spans="42:49" x14ac:dyDescent="0.3">
      <c r="AP707" t="str">
        <f t="shared" ref="AP707:AP770" si="27">IF($Y707="","",
SUM($Y707,$AI707,$AM707,$AJ707,$AL707,$AK707,$AN707,$AD707,$AF707,$AG707)-
IF($AO707="",0,VALUE($AO707)))</f>
        <v/>
      </c>
      <c r="AW707" t="s">
        <v>917</v>
      </c>
    </row>
    <row r="708" spans="42:49" x14ac:dyDescent="0.3">
      <c r="AP708" t="str">
        <f t="shared" si="27"/>
        <v/>
      </c>
      <c r="AW708" t="s">
        <v>918</v>
      </c>
    </row>
    <row r="709" spans="42:49" x14ac:dyDescent="0.3">
      <c r="AP709" t="str">
        <f t="shared" si="27"/>
        <v/>
      </c>
      <c r="AW709" t="s">
        <v>919</v>
      </c>
    </row>
    <row r="710" spans="42:49" x14ac:dyDescent="0.3">
      <c r="AP710" t="str">
        <f t="shared" si="27"/>
        <v/>
      </c>
      <c r="AW710" t="s">
        <v>920</v>
      </c>
    </row>
    <row r="711" spans="42:49" x14ac:dyDescent="0.3">
      <c r="AP711" t="str">
        <f t="shared" si="27"/>
        <v/>
      </c>
      <c r="AW711" t="s">
        <v>921</v>
      </c>
    </row>
    <row r="712" spans="42:49" x14ac:dyDescent="0.3">
      <c r="AP712" t="str">
        <f t="shared" si="27"/>
        <v/>
      </c>
      <c r="AW712" t="s">
        <v>922</v>
      </c>
    </row>
    <row r="713" spans="42:49" x14ac:dyDescent="0.3">
      <c r="AP713" t="str">
        <f t="shared" si="27"/>
        <v/>
      </c>
      <c r="AW713" t="s">
        <v>923</v>
      </c>
    </row>
    <row r="714" spans="42:49" x14ac:dyDescent="0.3">
      <c r="AP714" t="str">
        <f t="shared" si="27"/>
        <v/>
      </c>
      <c r="AW714" t="s">
        <v>924</v>
      </c>
    </row>
    <row r="715" spans="42:49" x14ac:dyDescent="0.3">
      <c r="AP715" t="str">
        <f t="shared" si="27"/>
        <v/>
      </c>
      <c r="AW715" t="s">
        <v>925</v>
      </c>
    </row>
    <row r="716" spans="42:49" x14ac:dyDescent="0.3">
      <c r="AP716" t="str">
        <f t="shared" si="27"/>
        <v/>
      </c>
      <c r="AW716" t="s">
        <v>926</v>
      </c>
    </row>
    <row r="717" spans="42:49" x14ac:dyDescent="0.3">
      <c r="AP717" t="str">
        <f t="shared" si="27"/>
        <v/>
      </c>
      <c r="AW717" t="s">
        <v>927</v>
      </c>
    </row>
    <row r="718" spans="42:49" x14ac:dyDescent="0.3">
      <c r="AP718" t="str">
        <f t="shared" si="27"/>
        <v/>
      </c>
      <c r="AW718" t="s">
        <v>928</v>
      </c>
    </row>
    <row r="719" spans="42:49" x14ac:dyDescent="0.3">
      <c r="AP719" t="str">
        <f t="shared" si="27"/>
        <v/>
      </c>
      <c r="AW719" t="s">
        <v>929</v>
      </c>
    </row>
    <row r="720" spans="42:49" x14ac:dyDescent="0.3">
      <c r="AP720" t="str">
        <f t="shared" si="27"/>
        <v/>
      </c>
      <c r="AW720" t="s">
        <v>930</v>
      </c>
    </row>
    <row r="721" spans="42:49" x14ac:dyDescent="0.3">
      <c r="AP721" t="str">
        <f t="shared" si="27"/>
        <v/>
      </c>
      <c r="AW721" t="s">
        <v>931</v>
      </c>
    </row>
    <row r="722" spans="42:49" x14ac:dyDescent="0.3">
      <c r="AP722" t="str">
        <f t="shared" si="27"/>
        <v/>
      </c>
      <c r="AW722" t="s">
        <v>932</v>
      </c>
    </row>
    <row r="723" spans="42:49" x14ac:dyDescent="0.3">
      <c r="AP723" t="str">
        <f t="shared" si="27"/>
        <v/>
      </c>
      <c r="AW723" t="s">
        <v>933</v>
      </c>
    </row>
    <row r="724" spans="42:49" x14ac:dyDescent="0.3">
      <c r="AP724" t="str">
        <f t="shared" si="27"/>
        <v/>
      </c>
      <c r="AW724" t="s">
        <v>934</v>
      </c>
    </row>
    <row r="725" spans="42:49" x14ac:dyDescent="0.3">
      <c r="AP725" t="str">
        <f t="shared" si="27"/>
        <v/>
      </c>
      <c r="AW725" t="s">
        <v>935</v>
      </c>
    </row>
    <row r="726" spans="42:49" x14ac:dyDescent="0.3">
      <c r="AP726" t="str">
        <f t="shared" si="27"/>
        <v/>
      </c>
      <c r="AW726" t="s">
        <v>936</v>
      </c>
    </row>
    <row r="727" spans="42:49" x14ac:dyDescent="0.3">
      <c r="AP727" t="str">
        <f t="shared" si="27"/>
        <v/>
      </c>
      <c r="AW727" t="s">
        <v>937</v>
      </c>
    </row>
    <row r="728" spans="42:49" x14ac:dyDescent="0.3">
      <c r="AP728" t="str">
        <f t="shared" si="27"/>
        <v/>
      </c>
      <c r="AW728" t="s">
        <v>938</v>
      </c>
    </row>
    <row r="729" spans="42:49" x14ac:dyDescent="0.3">
      <c r="AP729" t="str">
        <f t="shared" si="27"/>
        <v/>
      </c>
      <c r="AW729" t="s">
        <v>939</v>
      </c>
    </row>
    <row r="730" spans="42:49" x14ac:dyDescent="0.3">
      <c r="AP730" t="str">
        <f t="shared" si="27"/>
        <v/>
      </c>
      <c r="AW730" t="s">
        <v>940</v>
      </c>
    </row>
    <row r="731" spans="42:49" x14ac:dyDescent="0.3">
      <c r="AP731" t="str">
        <f t="shared" si="27"/>
        <v/>
      </c>
      <c r="AW731" t="s">
        <v>941</v>
      </c>
    </row>
    <row r="732" spans="42:49" x14ac:dyDescent="0.3">
      <c r="AP732" t="str">
        <f t="shared" si="27"/>
        <v/>
      </c>
      <c r="AW732" t="s">
        <v>942</v>
      </c>
    </row>
    <row r="733" spans="42:49" x14ac:dyDescent="0.3">
      <c r="AP733" t="str">
        <f t="shared" si="27"/>
        <v/>
      </c>
      <c r="AW733" t="s">
        <v>943</v>
      </c>
    </row>
    <row r="734" spans="42:49" x14ac:dyDescent="0.3">
      <c r="AP734" t="str">
        <f t="shared" si="27"/>
        <v/>
      </c>
      <c r="AW734" t="s">
        <v>944</v>
      </c>
    </row>
    <row r="735" spans="42:49" x14ac:dyDescent="0.3">
      <c r="AP735" t="str">
        <f t="shared" si="27"/>
        <v/>
      </c>
      <c r="AW735" t="s">
        <v>945</v>
      </c>
    </row>
    <row r="736" spans="42:49" x14ac:dyDescent="0.3">
      <c r="AP736" t="str">
        <f t="shared" si="27"/>
        <v/>
      </c>
    </row>
    <row r="737" spans="42:42" x14ac:dyDescent="0.3">
      <c r="AP737" t="str">
        <f t="shared" si="27"/>
        <v/>
      </c>
    </row>
    <row r="738" spans="42:42" x14ac:dyDescent="0.3">
      <c r="AP738" t="str">
        <f t="shared" si="27"/>
        <v/>
      </c>
    </row>
    <row r="739" spans="42:42" x14ac:dyDescent="0.3">
      <c r="AP739" t="str">
        <f t="shared" si="27"/>
        <v/>
      </c>
    </row>
    <row r="740" spans="42:42" x14ac:dyDescent="0.3">
      <c r="AP740" t="str">
        <f t="shared" si="27"/>
        <v/>
      </c>
    </row>
    <row r="741" spans="42:42" x14ac:dyDescent="0.3">
      <c r="AP741" t="str">
        <f t="shared" si="27"/>
        <v/>
      </c>
    </row>
    <row r="742" spans="42:42" x14ac:dyDescent="0.3">
      <c r="AP742" t="str">
        <f t="shared" si="27"/>
        <v/>
      </c>
    </row>
    <row r="743" spans="42:42" x14ac:dyDescent="0.3">
      <c r="AP743" t="str">
        <f t="shared" si="27"/>
        <v/>
      </c>
    </row>
    <row r="744" spans="42:42" x14ac:dyDescent="0.3">
      <c r="AP744" t="str">
        <f t="shared" si="27"/>
        <v/>
      </c>
    </row>
    <row r="745" spans="42:42" x14ac:dyDescent="0.3">
      <c r="AP745" t="str">
        <f t="shared" si="27"/>
        <v/>
      </c>
    </row>
    <row r="746" spans="42:42" x14ac:dyDescent="0.3">
      <c r="AP746" t="str">
        <f t="shared" si="27"/>
        <v/>
      </c>
    </row>
    <row r="747" spans="42:42" x14ac:dyDescent="0.3">
      <c r="AP747" t="str">
        <f t="shared" si="27"/>
        <v/>
      </c>
    </row>
    <row r="748" spans="42:42" x14ac:dyDescent="0.3">
      <c r="AP748" t="str">
        <f t="shared" si="27"/>
        <v/>
      </c>
    </row>
    <row r="749" spans="42:42" x14ac:dyDescent="0.3">
      <c r="AP749" t="str">
        <f t="shared" si="27"/>
        <v/>
      </c>
    </row>
    <row r="750" spans="42:42" x14ac:dyDescent="0.3">
      <c r="AP750" t="str">
        <f t="shared" si="27"/>
        <v/>
      </c>
    </row>
    <row r="751" spans="42:42" x14ac:dyDescent="0.3">
      <c r="AP751" t="str">
        <f t="shared" si="27"/>
        <v/>
      </c>
    </row>
    <row r="752" spans="42:42" x14ac:dyDescent="0.3">
      <c r="AP752" t="str">
        <f t="shared" si="27"/>
        <v/>
      </c>
    </row>
    <row r="753" spans="42:42" x14ac:dyDescent="0.3">
      <c r="AP753" t="str">
        <f t="shared" si="27"/>
        <v/>
      </c>
    </row>
    <row r="754" spans="42:42" x14ac:dyDescent="0.3">
      <c r="AP754" t="str">
        <f t="shared" si="27"/>
        <v/>
      </c>
    </row>
    <row r="755" spans="42:42" x14ac:dyDescent="0.3">
      <c r="AP755" t="str">
        <f t="shared" si="27"/>
        <v/>
      </c>
    </row>
    <row r="756" spans="42:42" x14ac:dyDescent="0.3">
      <c r="AP756" t="str">
        <f t="shared" si="27"/>
        <v/>
      </c>
    </row>
    <row r="757" spans="42:42" x14ac:dyDescent="0.3">
      <c r="AP757" t="str">
        <f t="shared" si="27"/>
        <v/>
      </c>
    </row>
    <row r="758" spans="42:42" x14ac:dyDescent="0.3">
      <c r="AP758" t="str">
        <f t="shared" si="27"/>
        <v/>
      </c>
    </row>
    <row r="759" spans="42:42" x14ac:dyDescent="0.3">
      <c r="AP759" t="str">
        <f t="shared" si="27"/>
        <v/>
      </c>
    </row>
    <row r="760" spans="42:42" x14ac:dyDescent="0.3">
      <c r="AP760" t="str">
        <f t="shared" si="27"/>
        <v/>
      </c>
    </row>
    <row r="761" spans="42:42" x14ac:dyDescent="0.3">
      <c r="AP761" t="str">
        <f t="shared" si="27"/>
        <v/>
      </c>
    </row>
    <row r="762" spans="42:42" x14ac:dyDescent="0.3">
      <c r="AP762" t="str">
        <f t="shared" si="27"/>
        <v/>
      </c>
    </row>
    <row r="763" spans="42:42" x14ac:dyDescent="0.3">
      <c r="AP763" t="str">
        <f t="shared" si="27"/>
        <v/>
      </c>
    </row>
    <row r="764" spans="42:42" x14ac:dyDescent="0.3">
      <c r="AP764" t="str">
        <f t="shared" si="27"/>
        <v/>
      </c>
    </row>
    <row r="765" spans="42:42" x14ac:dyDescent="0.3">
      <c r="AP765" t="str">
        <f t="shared" si="27"/>
        <v/>
      </c>
    </row>
    <row r="766" spans="42:42" x14ac:dyDescent="0.3">
      <c r="AP766" t="str">
        <f t="shared" si="27"/>
        <v/>
      </c>
    </row>
    <row r="767" spans="42:42" x14ac:dyDescent="0.3">
      <c r="AP767" t="str">
        <f t="shared" si="27"/>
        <v/>
      </c>
    </row>
    <row r="768" spans="42:42" x14ac:dyDescent="0.3">
      <c r="AP768" t="str">
        <f t="shared" si="27"/>
        <v/>
      </c>
    </row>
    <row r="769" spans="42:42" x14ac:dyDescent="0.3">
      <c r="AP769" t="str">
        <f t="shared" si="27"/>
        <v/>
      </c>
    </row>
    <row r="770" spans="42:42" x14ac:dyDescent="0.3">
      <c r="AP770" t="str">
        <f t="shared" si="27"/>
        <v/>
      </c>
    </row>
    <row r="771" spans="42:42" x14ac:dyDescent="0.3">
      <c r="AP771" t="str">
        <f t="shared" ref="AP771:AP834" si="28">IF($Y771="","",
SUM($Y771,$AI771,$AM771,$AJ771,$AL771,$AK771,$AN771,$AD771,$AF771,$AG771)-
IF($AO771="",0,VALUE($AO771)))</f>
        <v/>
      </c>
    </row>
    <row r="772" spans="42:42" x14ac:dyDescent="0.3">
      <c r="AP772" t="str">
        <f t="shared" si="28"/>
        <v/>
      </c>
    </row>
    <row r="773" spans="42:42" x14ac:dyDescent="0.3">
      <c r="AP773" t="str">
        <f t="shared" si="28"/>
        <v/>
      </c>
    </row>
    <row r="774" spans="42:42" x14ac:dyDescent="0.3">
      <c r="AP774" t="str">
        <f t="shared" si="28"/>
        <v/>
      </c>
    </row>
    <row r="775" spans="42:42" x14ac:dyDescent="0.3">
      <c r="AP775" t="str">
        <f t="shared" si="28"/>
        <v/>
      </c>
    </row>
    <row r="776" spans="42:42" x14ac:dyDescent="0.3">
      <c r="AP776" t="str">
        <f t="shared" si="28"/>
        <v/>
      </c>
    </row>
    <row r="777" spans="42:42" x14ac:dyDescent="0.3">
      <c r="AP777" t="str">
        <f t="shared" si="28"/>
        <v/>
      </c>
    </row>
    <row r="778" spans="42:42" x14ac:dyDescent="0.3">
      <c r="AP778" t="str">
        <f t="shared" si="28"/>
        <v/>
      </c>
    </row>
    <row r="779" spans="42:42" x14ac:dyDescent="0.3">
      <c r="AP779" t="str">
        <f t="shared" si="28"/>
        <v/>
      </c>
    </row>
    <row r="780" spans="42:42" x14ac:dyDescent="0.3">
      <c r="AP780" t="str">
        <f t="shared" si="28"/>
        <v/>
      </c>
    </row>
    <row r="781" spans="42:42" x14ac:dyDescent="0.3">
      <c r="AP781" t="str">
        <f t="shared" si="28"/>
        <v/>
      </c>
    </row>
    <row r="782" spans="42:42" x14ac:dyDescent="0.3">
      <c r="AP782" t="str">
        <f t="shared" si="28"/>
        <v/>
      </c>
    </row>
    <row r="783" spans="42:42" x14ac:dyDescent="0.3">
      <c r="AP783" t="str">
        <f t="shared" si="28"/>
        <v/>
      </c>
    </row>
    <row r="784" spans="42:42" x14ac:dyDescent="0.3">
      <c r="AP784" t="str">
        <f t="shared" si="28"/>
        <v/>
      </c>
    </row>
    <row r="785" spans="42:42" x14ac:dyDescent="0.3">
      <c r="AP785" t="str">
        <f t="shared" si="28"/>
        <v/>
      </c>
    </row>
    <row r="786" spans="42:42" x14ac:dyDescent="0.3">
      <c r="AP786" t="str">
        <f t="shared" si="28"/>
        <v/>
      </c>
    </row>
    <row r="787" spans="42:42" x14ac:dyDescent="0.3">
      <c r="AP787" t="str">
        <f t="shared" si="28"/>
        <v/>
      </c>
    </row>
    <row r="788" spans="42:42" x14ac:dyDescent="0.3">
      <c r="AP788" t="str">
        <f t="shared" si="28"/>
        <v/>
      </c>
    </row>
    <row r="789" spans="42:42" x14ac:dyDescent="0.3">
      <c r="AP789" t="str">
        <f t="shared" si="28"/>
        <v/>
      </c>
    </row>
    <row r="790" spans="42:42" x14ac:dyDescent="0.3">
      <c r="AP790" t="str">
        <f t="shared" si="28"/>
        <v/>
      </c>
    </row>
    <row r="791" spans="42:42" x14ac:dyDescent="0.3">
      <c r="AP791" t="str">
        <f t="shared" si="28"/>
        <v/>
      </c>
    </row>
    <row r="792" spans="42:42" x14ac:dyDescent="0.3">
      <c r="AP792" t="str">
        <f t="shared" si="28"/>
        <v/>
      </c>
    </row>
    <row r="793" spans="42:42" x14ac:dyDescent="0.3">
      <c r="AP793" t="str">
        <f t="shared" si="28"/>
        <v/>
      </c>
    </row>
    <row r="794" spans="42:42" x14ac:dyDescent="0.3">
      <c r="AP794" t="str">
        <f t="shared" si="28"/>
        <v/>
      </c>
    </row>
    <row r="795" spans="42:42" x14ac:dyDescent="0.3">
      <c r="AP795" t="str">
        <f t="shared" si="28"/>
        <v/>
      </c>
    </row>
    <row r="796" spans="42:42" x14ac:dyDescent="0.3">
      <c r="AP796" t="str">
        <f t="shared" si="28"/>
        <v/>
      </c>
    </row>
    <row r="797" spans="42:42" x14ac:dyDescent="0.3">
      <c r="AP797" t="str">
        <f t="shared" si="28"/>
        <v/>
      </c>
    </row>
    <row r="798" spans="42:42" x14ac:dyDescent="0.3">
      <c r="AP798" t="str">
        <f t="shared" si="28"/>
        <v/>
      </c>
    </row>
    <row r="799" spans="42:42" x14ac:dyDescent="0.3">
      <c r="AP799" t="str">
        <f t="shared" si="28"/>
        <v/>
      </c>
    </row>
    <row r="800" spans="42:42" x14ac:dyDescent="0.3">
      <c r="AP800" t="str">
        <f t="shared" si="28"/>
        <v/>
      </c>
    </row>
    <row r="801" spans="42:42" x14ac:dyDescent="0.3">
      <c r="AP801" t="str">
        <f t="shared" si="28"/>
        <v/>
      </c>
    </row>
    <row r="802" spans="42:42" x14ac:dyDescent="0.3">
      <c r="AP802" t="str">
        <f t="shared" si="28"/>
        <v/>
      </c>
    </row>
    <row r="803" spans="42:42" x14ac:dyDescent="0.3">
      <c r="AP803" t="str">
        <f t="shared" si="28"/>
        <v/>
      </c>
    </row>
    <row r="804" spans="42:42" x14ac:dyDescent="0.3">
      <c r="AP804" t="str">
        <f t="shared" si="28"/>
        <v/>
      </c>
    </row>
    <row r="805" spans="42:42" x14ac:dyDescent="0.3">
      <c r="AP805" t="str">
        <f t="shared" si="28"/>
        <v/>
      </c>
    </row>
    <row r="806" spans="42:42" x14ac:dyDescent="0.3">
      <c r="AP806" t="str">
        <f t="shared" si="28"/>
        <v/>
      </c>
    </row>
    <row r="807" spans="42:42" x14ac:dyDescent="0.3">
      <c r="AP807" t="str">
        <f t="shared" si="28"/>
        <v/>
      </c>
    </row>
    <row r="808" spans="42:42" x14ac:dyDescent="0.3">
      <c r="AP808" t="str">
        <f t="shared" si="28"/>
        <v/>
      </c>
    </row>
    <row r="809" spans="42:42" x14ac:dyDescent="0.3">
      <c r="AP809" t="str">
        <f t="shared" si="28"/>
        <v/>
      </c>
    </row>
    <row r="810" spans="42:42" x14ac:dyDescent="0.3">
      <c r="AP810" t="str">
        <f t="shared" si="28"/>
        <v/>
      </c>
    </row>
    <row r="811" spans="42:42" x14ac:dyDescent="0.3">
      <c r="AP811" t="str">
        <f t="shared" si="28"/>
        <v/>
      </c>
    </row>
    <row r="812" spans="42:42" x14ac:dyDescent="0.3">
      <c r="AP812" t="str">
        <f t="shared" si="28"/>
        <v/>
      </c>
    </row>
    <row r="813" spans="42:42" x14ac:dyDescent="0.3">
      <c r="AP813" t="str">
        <f t="shared" si="28"/>
        <v/>
      </c>
    </row>
    <row r="814" spans="42:42" x14ac:dyDescent="0.3">
      <c r="AP814" t="str">
        <f t="shared" si="28"/>
        <v/>
      </c>
    </row>
    <row r="815" spans="42:42" x14ac:dyDescent="0.3">
      <c r="AP815" t="str">
        <f t="shared" si="28"/>
        <v/>
      </c>
    </row>
    <row r="816" spans="42:42" x14ac:dyDescent="0.3">
      <c r="AP816" t="str">
        <f t="shared" si="28"/>
        <v/>
      </c>
    </row>
    <row r="817" spans="42:42" x14ac:dyDescent="0.3">
      <c r="AP817" t="str">
        <f t="shared" si="28"/>
        <v/>
      </c>
    </row>
    <row r="818" spans="42:42" x14ac:dyDescent="0.3">
      <c r="AP818" t="str">
        <f t="shared" si="28"/>
        <v/>
      </c>
    </row>
    <row r="819" spans="42:42" x14ac:dyDescent="0.3">
      <c r="AP819" t="str">
        <f t="shared" si="28"/>
        <v/>
      </c>
    </row>
    <row r="820" spans="42:42" x14ac:dyDescent="0.3">
      <c r="AP820" t="str">
        <f t="shared" si="28"/>
        <v/>
      </c>
    </row>
    <row r="821" spans="42:42" x14ac:dyDescent="0.3">
      <c r="AP821" t="str">
        <f t="shared" si="28"/>
        <v/>
      </c>
    </row>
    <row r="822" spans="42:42" x14ac:dyDescent="0.3">
      <c r="AP822" t="str">
        <f t="shared" si="28"/>
        <v/>
      </c>
    </row>
    <row r="823" spans="42:42" x14ac:dyDescent="0.3">
      <c r="AP823" t="str">
        <f t="shared" si="28"/>
        <v/>
      </c>
    </row>
    <row r="824" spans="42:42" x14ac:dyDescent="0.3">
      <c r="AP824" t="str">
        <f t="shared" si="28"/>
        <v/>
      </c>
    </row>
    <row r="825" spans="42:42" x14ac:dyDescent="0.3">
      <c r="AP825" t="str">
        <f t="shared" si="28"/>
        <v/>
      </c>
    </row>
    <row r="826" spans="42:42" x14ac:dyDescent="0.3">
      <c r="AP826" t="str">
        <f t="shared" si="28"/>
        <v/>
      </c>
    </row>
    <row r="827" spans="42:42" x14ac:dyDescent="0.3">
      <c r="AP827" t="str">
        <f t="shared" si="28"/>
        <v/>
      </c>
    </row>
    <row r="828" spans="42:42" x14ac:dyDescent="0.3">
      <c r="AP828" t="str">
        <f t="shared" si="28"/>
        <v/>
      </c>
    </row>
    <row r="829" spans="42:42" x14ac:dyDescent="0.3">
      <c r="AP829" t="str">
        <f t="shared" si="28"/>
        <v/>
      </c>
    </row>
    <row r="830" spans="42:42" x14ac:dyDescent="0.3">
      <c r="AP830" t="str">
        <f t="shared" si="28"/>
        <v/>
      </c>
    </row>
    <row r="831" spans="42:42" x14ac:dyDescent="0.3">
      <c r="AP831" t="str">
        <f t="shared" si="28"/>
        <v/>
      </c>
    </row>
    <row r="832" spans="42:42" x14ac:dyDescent="0.3">
      <c r="AP832" t="str">
        <f t="shared" si="28"/>
        <v/>
      </c>
    </row>
    <row r="833" spans="42:42" x14ac:dyDescent="0.3">
      <c r="AP833" t="str">
        <f t="shared" si="28"/>
        <v/>
      </c>
    </row>
    <row r="834" spans="42:42" x14ac:dyDescent="0.3">
      <c r="AP834" t="str">
        <f t="shared" si="28"/>
        <v/>
      </c>
    </row>
    <row r="835" spans="42:42" x14ac:dyDescent="0.3">
      <c r="AP835" t="str">
        <f t="shared" ref="AP835:AP898" si="29">IF($Y835="","",
SUM($Y835,$AI835,$AM835,$AJ835,$AL835,$AK835,$AN835,$AD835,$AF835,$AG835)-
IF($AO835="",0,VALUE($AO835)))</f>
        <v/>
      </c>
    </row>
    <row r="836" spans="42:42" x14ac:dyDescent="0.3">
      <c r="AP836" t="str">
        <f t="shared" si="29"/>
        <v/>
      </c>
    </row>
    <row r="837" spans="42:42" x14ac:dyDescent="0.3">
      <c r="AP837" t="str">
        <f t="shared" si="29"/>
        <v/>
      </c>
    </row>
    <row r="838" spans="42:42" x14ac:dyDescent="0.3">
      <c r="AP838" t="str">
        <f t="shared" si="29"/>
        <v/>
      </c>
    </row>
    <row r="839" spans="42:42" x14ac:dyDescent="0.3">
      <c r="AP839" t="str">
        <f t="shared" si="29"/>
        <v/>
      </c>
    </row>
    <row r="840" spans="42:42" x14ac:dyDescent="0.3">
      <c r="AP840" t="str">
        <f t="shared" si="29"/>
        <v/>
      </c>
    </row>
    <row r="841" spans="42:42" x14ac:dyDescent="0.3">
      <c r="AP841" t="str">
        <f t="shared" si="29"/>
        <v/>
      </c>
    </row>
    <row r="842" spans="42:42" x14ac:dyDescent="0.3">
      <c r="AP842" t="str">
        <f t="shared" si="29"/>
        <v/>
      </c>
    </row>
    <row r="843" spans="42:42" x14ac:dyDescent="0.3">
      <c r="AP843" t="str">
        <f t="shared" si="29"/>
        <v/>
      </c>
    </row>
    <row r="844" spans="42:42" x14ac:dyDescent="0.3">
      <c r="AP844" t="str">
        <f t="shared" si="29"/>
        <v/>
      </c>
    </row>
    <row r="845" spans="42:42" x14ac:dyDescent="0.3">
      <c r="AP845" t="str">
        <f t="shared" si="29"/>
        <v/>
      </c>
    </row>
    <row r="846" spans="42:42" x14ac:dyDescent="0.3">
      <c r="AP846" t="str">
        <f t="shared" si="29"/>
        <v/>
      </c>
    </row>
    <row r="847" spans="42:42" x14ac:dyDescent="0.3">
      <c r="AP847" t="str">
        <f t="shared" si="29"/>
        <v/>
      </c>
    </row>
    <row r="848" spans="42:42" x14ac:dyDescent="0.3">
      <c r="AP848" t="str">
        <f t="shared" si="29"/>
        <v/>
      </c>
    </row>
    <row r="849" spans="42:42" x14ac:dyDescent="0.3">
      <c r="AP849" t="str">
        <f t="shared" si="29"/>
        <v/>
      </c>
    </row>
    <row r="850" spans="42:42" x14ac:dyDescent="0.3">
      <c r="AP850" t="str">
        <f t="shared" si="29"/>
        <v/>
      </c>
    </row>
    <row r="851" spans="42:42" x14ac:dyDescent="0.3">
      <c r="AP851" t="str">
        <f t="shared" si="29"/>
        <v/>
      </c>
    </row>
    <row r="852" spans="42:42" x14ac:dyDescent="0.3">
      <c r="AP852" t="str">
        <f t="shared" si="29"/>
        <v/>
      </c>
    </row>
    <row r="853" spans="42:42" x14ac:dyDescent="0.3">
      <c r="AP853" t="str">
        <f t="shared" si="29"/>
        <v/>
      </c>
    </row>
    <row r="854" spans="42:42" x14ac:dyDescent="0.3">
      <c r="AP854" t="str">
        <f t="shared" si="29"/>
        <v/>
      </c>
    </row>
    <row r="855" spans="42:42" x14ac:dyDescent="0.3">
      <c r="AP855" t="str">
        <f t="shared" si="29"/>
        <v/>
      </c>
    </row>
    <row r="856" spans="42:42" x14ac:dyDescent="0.3">
      <c r="AP856" t="str">
        <f t="shared" si="29"/>
        <v/>
      </c>
    </row>
    <row r="857" spans="42:42" x14ac:dyDescent="0.3">
      <c r="AP857" t="str">
        <f t="shared" si="29"/>
        <v/>
      </c>
    </row>
    <row r="858" spans="42:42" x14ac:dyDescent="0.3">
      <c r="AP858" t="str">
        <f t="shared" si="29"/>
        <v/>
      </c>
    </row>
    <row r="859" spans="42:42" x14ac:dyDescent="0.3">
      <c r="AP859" t="str">
        <f t="shared" si="29"/>
        <v/>
      </c>
    </row>
    <row r="860" spans="42:42" x14ac:dyDescent="0.3">
      <c r="AP860" t="str">
        <f t="shared" si="29"/>
        <v/>
      </c>
    </row>
    <row r="861" spans="42:42" x14ac:dyDescent="0.3">
      <c r="AP861" t="str">
        <f t="shared" si="29"/>
        <v/>
      </c>
    </row>
    <row r="862" spans="42:42" x14ac:dyDescent="0.3">
      <c r="AP862" t="str">
        <f t="shared" si="29"/>
        <v/>
      </c>
    </row>
    <row r="863" spans="42:42" x14ac:dyDescent="0.3">
      <c r="AP863" t="str">
        <f t="shared" si="29"/>
        <v/>
      </c>
    </row>
    <row r="864" spans="42:42" x14ac:dyDescent="0.3">
      <c r="AP864" t="str">
        <f t="shared" si="29"/>
        <v/>
      </c>
    </row>
    <row r="865" spans="42:42" x14ac:dyDescent="0.3">
      <c r="AP865" t="str">
        <f t="shared" si="29"/>
        <v/>
      </c>
    </row>
    <row r="866" spans="42:42" x14ac:dyDescent="0.3">
      <c r="AP866" t="str">
        <f t="shared" si="29"/>
        <v/>
      </c>
    </row>
    <row r="867" spans="42:42" x14ac:dyDescent="0.3">
      <c r="AP867" t="str">
        <f t="shared" si="29"/>
        <v/>
      </c>
    </row>
    <row r="868" spans="42:42" x14ac:dyDescent="0.3">
      <c r="AP868" t="str">
        <f t="shared" si="29"/>
        <v/>
      </c>
    </row>
    <row r="869" spans="42:42" x14ac:dyDescent="0.3">
      <c r="AP869" t="str">
        <f t="shared" si="29"/>
        <v/>
      </c>
    </row>
    <row r="870" spans="42:42" x14ac:dyDescent="0.3">
      <c r="AP870" t="str">
        <f t="shared" si="29"/>
        <v/>
      </c>
    </row>
    <row r="871" spans="42:42" x14ac:dyDescent="0.3">
      <c r="AP871" t="str">
        <f t="shared" si="29"/>
        <v/>
      </c>
    </row>
    <row r="872" spans="42:42" x14ac:dyDescent="0.3">
      <c r="AP872" t="str">
        <f t="shared" si="29"/>
        <v/>
      </c>
    </row>
    <row r="873" spans="42:42" x14ac:dyDescent="0.3">
      <c r="AP873" t="str">
        <f t="shared" si="29"/>
        <v/>
      </c>
    </row>
    <row r="874" spans="42:42" x14ac:dyDescent="0.3">
      <c r="AP874" t="str">
        <f t="shared" si="29"/>
        <v/>
      </c>
    </row>
    <row r="875" spans="42:42" x14ac:dyDescent="0.3">
      <c r="AP875" t="str">
        <f t="shared" si="29"/>
        <v/>
      </c>
    </row>
    <row r="876" spans="42:42" x14ac:dyDescent="0.3">
      <c r="AP876" t="str">
        <f t="shared" si="29"/>
        <v/>
      </c>
    </row>
    <row r="877" spans="42:42" x14ac:dyDescent="0.3">
      <c r="AP877" t="str">
        <f t="shared" si="29"/>
        <v/>
      </c>
    </row>
    <row r="878" spans="42:42" x14ac:dyDescent="0.3">
      <c r="AP878" t="str">
        <f t="shared" si="29"/>
        <v/>
      </c>
    </row>
    <row r="879" spans="42:42" x14ac:dyDescent="0.3">
      <c r="AP879" t="str">
        <f t="shared" si="29"/>
        <v/>
      </c>
    </row>
    <row r="880" spans="42:42" x14ac:dyDescent="0.3">
      <c r="AP880" t="str">
        <f t="shared" si="29"/>
        <v/>
      </c>
    </row>
    <row r="881" spans="42:42" x14ac:dyDescent="0.3">
      <c r="AP881" t="str">
        <f t="shared" si="29"/>
        <v/>
      </c>
    </row>
    <row r="882" spans="42:42" x14ac:dyDescent="0.3">
      <c r="AP882" t="str">
        <f t="shared" si="29"/>
        <v/>
      </c>
    </row>
    <row r="883" spans="42:42" x14ac:dyDescent="0.3">
      <c r="AP883" t="str">
        <f t="shared" si="29"/>
        <v/>
      </c>
    </row>
    <row r="884" spans="42:42" x14ac:dyDescent="0.3">
      <c r="AP884" t="str">
        <f t="shared" si="29"/>
        <v/>
      </c>
    </row>
    <row r="885" spans="42:42" x14ac:dyDescent="0.3">
      <c r="AP885" t="str">
        <f t="shared" si="29"/>
        <v/>
      </c>
    </row>
    <row r="886" spans="42:42" x14ac:dyDescent="0.3">
      <c r="AP886" t="str">
        <f t="shared" si="29"/>
        <v/>
      </c>
    </row>
    <row r="887" spans="42:42" x14ac:dyDescent="0.3">
      <c r="AP887" t="str">
        <f t="shared" si="29"/>
        <v/>
      </c>
    </row>
    <row r="888" spans="42:42" x14ac:dyDescent="0.3">
      <c r="AP888" t="str">
        <f t="shared" si="29"/>
        <v/>
      </c>
    </row>
    <row r="889" spans="42:42" x14ac:dyDescent="0.3">
      <c r="AP889" t="str">
        <f t="shared" si="29"/>
        <v/>
      </c>
    </row>
    <row r="890" spans="42:42" x14ac:dyDescent="0.3">
      <c r="AP890" t="str">
        <f t="shared" si="29"/>
        <v/>
      </c>
    </row>
    <row r="891" spans="42:42" x14ac:dyDescent="0.3">
      <c r="AP891" t="str">
        <f t="shared" si="29"/>
        <v/>
      </c>
    </row>
    <row r="892" spans="42:42" x14ac:dyDescent="0.3">
      <c r="AP892" t="str">
        <f t="shared" si="29"/>
        <v/>
      </c>
    </row>
    <row r="893" spans="42:42" x14ac:dyDescent="0.3">
      <c r="AP893" t="str">
        <f t="shared" si="29"/>
        <v/>
      </c>
    </row>
    <row r="894" spans="42:42" x14ac:dyDescent="0.3">
      <c r="AP894" t="str">
        <f t="shared" si="29"/>
        <v/>
      </c>
    </row>
    <row r="895" spans="42:42" x14ac:dyDescent="0.3">
      <c r="AP895" t="str">
        <f t="shared" si="29"/>
        <v/>
      </c>
    </row>
    <row r="896" spans="42:42" x14ac:dyDescent="0.3">
      <c r="AP896" t="str">
        <f t="shared" si="29"/>
        <v/>
      </c>
    </row>
    <row r="897" spans="42:42" x14ac:dyDescent="0.3">
      <c r="AP897" t="str">
        <f t="shared" si="29"/>
        <v/>
      </c>
    </row>
    <row r="898" spans="42:42" x14ac:dyDescent="0.3">
      <c r="AP898" t="str">
        <f t="shared" si="29"/>
        <v/>
      </c>
    </row>
    <row r="899" spans="42:42" x14ac:dyDescent="0.3">
      <c r="AP899" t="str">
        <f t="shared" ref="AP899:AP962" si="30">IF($Y899="","",
SUM($Y899,$AI899,$AM899,$AJ899,$AL899,$AK899,$AN899,$AD899,$AF899,$AG899)-
IF($AO899="",0,VALUE($AO899)))</f>
        <v/>
      </c>
    </row>
    <row r="900" spans="42:42" x14ac:dyDescent="0.3">
      <c r="AP900" t="str">
        <f t="shared" si="30"/>
        <v/>
      </c>
    </row>
    <row r="901" spans="42:42" x14ac:dyDescent="0.3">
      <c r="AP901" t="str">
        <f t="shared" si="30"/>
        <v/>
      </c>
    </row>
    <row r="902" spans="42:42" x14ac:dyDescent="0.3">
      <c r="AP902" t="str">
        <f t="shared" si="30"/>
        <v/>
      </c>
    </row>
    <row r="903" spans="42:42" x14ac:dyDescent="0.3">
      <c r="AP903" t="str">
        <f t="shared" si="30"/>
        <v/>
      </c>
    </row>
    <row r="904" spans="42:42" x14ac:dyDescent="0.3">
      <c r="AP904" t="str">
        <f t="shared" si="30"/>
        <v/>
      </c>
    </row>
    <row r="905" spans="42:42" x14ac:dyDescent="0.3">
      <c r="AP905" t="str">
        <f t="shared" si="30"/>
        <v/>
      </c>
    </row>
    <row r="906" spans="42:42" x14ac:dyDescent="0.3">
      <c r="AP906" t="str">
        <f t="shared" si="30"/>
        <v/>
      </c>
    </row>
    <row r="907" spans="42:42" x14ac:dyDescent="0.3">
      <c r="AP907" t="str">
        <f t="shared" si="30"/>
        <v/>
      </c>
    </row>
    <row r="908" spans="42:42" x14ac:dyDescent="0.3">
      <c r="AP908" t="str">
        <f t="shared" si="30"/>
        <v/>
      </c>
    </row>
    <row r="909" spans="42:42" x14ac:dyDescent="0.3">
      <c r="AP909" t="str">
        <f t="shared" si="30"/>
        <v/>
      </c>
    </row>
    <row r="910" spans="42:42" x14ac:dyDescent="0.3">
      <c r="AP910" t="str">
        <f t="shared" si="30"/>
        <v/>
      </c>
    </row>
    <row r="911" spans="42:42" x14ac:dyDescent="0.3">
      <c r="AP911" t="str">
        <f t="shared" si="30"/>
        <v/>
      </c>
    </row>
    <row r="912" spans="42:42" x14ac:dyDescent="0.3">
      <c r="AP912" t="str">
        <f t="shared" si="30"/>
        <v/>
      </c>
    </row>
    <row r="913" spans="42:42" x14ac:dyDescent="0.3">
      <c r="AP913" t="str">
        <f t="shared" si="30"/>
        <v/>
      </c>
    </row>
    <row r="914" spans="42:42" x14ac:dyDescent="0.3">
      <c r="AP914" t="str">
        <f t="shared" si="30"/>
        <v/>
      </c>
    </row>
    <row r="915" spans="42:42" x14ac:dyDescent="0.3">
      <c r="AP915" t="str">
        <f t="shared" si="30"/>
        <v/>
      </c>
    </row>
    <row r="916" spans="42:42" x14ac:dyDescent="0.3">
      <c r="AP916" t="str">
        <f t="shared" si="30"/>
        <v/>
      </c>
    </row>
    <row r="917" spans="42:42" x14ac:dyDescent="0.3">
      <c r="AP917" t="str">
        <f t="shared" si="30"/>
        <v/>
      </c>
    </row>
    <row r="918" spans="42:42" x14ac:dyDescent="0.3">
      <c r="AP918" t="str">
        <f t="shared" si="30"/>
        <v/>
      </c>
    </row>
    <row r="919" spans="42:42" x14ac:dyDescent="0.3">
      <c r="AP919" t="str">
        <f t="shared" si="30"/>
        <v/>
      </c>
    </row>
    <row r="920" spans="42:42" x14ac:dyDescent="0.3">
      <c r="AP920" t="str">
        <f t="shared" si="30"/>
        <v/>
      </c>
    </row>
    <row r="921" spans="42:42" x14ac:dyDescent="0.3">
      <c r="AP921" t="str">
        <f t="shared" si="30"/>
        <v/>
      </c>
    </row>
    <row r="922" spans="42:42" x14ac:dyDescent="0.3">
      <c r="AP922" t="str">
        <f t="shared" si="30"/>
        <v/>
      </c>
    </row>
    <row r="923" spans="42:42" x14ac:dyDescent="0.3">
      <c r="AP923" t="str">
        <f t="shared" si="30"/>
        <v/>
      </c>
    </row>
    <row r="924" spans="42:42" x14ac:dyDescent="0.3">
      <c r="AP924" t="str">
        <f t="shared" si="30"/>
        <v/>
      </c>
    </row>
    <row r="925" spans="42:42" x14ac:dyDescent="0.3">
      <c r="AP925" t="str">
        <f t="shared" si="30"/>
        <v/>
      </c>
    </row>
    <row r="926" spans="42:42" x14ac:dyDescent="0.3">
      <c r="AP926" t="str">
        <f t="shared" si="30"/>
        <v/>
      </c>
    </row>
    <row r="927" spans="42:42" x14ac:dyDescent="0.3">
      <c r="AP927" t="str">
        <f t="shared" si="30"/>
        <v/>
      </c>
    </row>
    <row r="928" spans="42:42" x14ac:dyDescent="0.3">
      <c r="AP928" t="str">
        <f t="shared" si="30"/>
        <v/>
      </c>
    </row>
    <row r="929" spans="42:42" x14ac:dyDescent="0.3">
      <c r="AP929" t="str">
        <f t="shared" si="30"/>
        <v/>
      </c>
    </row>
    <row r="930" spans="42:42" x14ac:dyDescent="0.3">
      <c r="AP930" t="str">
        <f t="shared" si="30"/>
        <v/>
      </c>
    </row>
    <row r="931" spans="42:42" x14ac:dyDescent="0.3">
      <c r="AP931" t="str">
        <f t="shared" si="30"/>
        <v/>
      </c>
    </row>
    <row r="932" spans="42:42" x14ac:dyDescent="0.3">
      <c r="AP932" t="str">
        <f t="shared" si="30"/>
        <v/>
      </c>
    </row>
    <row r="933" spans="42:42" x14ac:dyDescent="0.3">
      <c r="AP933" t="str">
        <f t="shared" si="30"/>
        <v/>
      </c>
    </row>
    <row r="934" spans="42:42" x14ac:dyDescent="0.3">
      <c r="AP934" t="str">
        <f t="shared" si="30"/>
        <v/>
      </c>
    </row>
    <row r="935" spans="42:42" x14ac:dyDescent="0.3">
      <c r="AP935" t="str">
        <f t="shared" si="30"/>
        <v/>
      </c>
    </row>
    <row r="936" spans="42:42" x14ac:dyDescent="0.3">
      <c r="AP936" t="str">
        <f t="shared" si="30"/>
        <v/>
      </c>
    </row>
    <row r="937" spans="42:42" x14ac:dyDescent="0.3">
      <c r="AP937" t="str">
        <f t="shared" si="30"/>
        <v/>
      </c>
    </row>
    <row r="938" spans="42:42" x14ac:dyDescent="0.3">
      <c r="AP938" t="str">
        <f t="shared" si="30"/>
        <v/>
      </c>
    </row>
    <row r="939" spans="42:42" x14ac:dyDescent="0.3">
      <c r="AP939" t="str">
        <f t="shared" si="30"/>
        <v/>
      </c>
    </row>
    <row r="940" spans="42:42" x14ac:dyDescent="0.3">
      <c r="AP940" t="str">
        <f t="shared" si="30"/>
        <v/>
      </c>
    </row>
    <row r="941" spans="42:42" x14ac:dyDescent="0.3">
      <c r="AP941" t="str">
        <f t="shared" si="30"/>
        <v/>
      </c>
    </row>
    <row r="942" spans="42:42" x14ac:dyDescent="0.3">
      <c r="AP942" t="str">
        <f t="shared" si="30"/>
        <v/>
      </c>
    </row>
    <row r="943" spans="42:42" x14ac:dyDescent="0.3">
      <c r="AP943" t="str">
        <f t="shared" si="30"/>
        <v/>
      </c>
    </row>
    <row r="944" spans="42:42" x14ac:dyDescent="0.3">
      <c r="AP944" t="str">
        <f t="shared" si="30"/>
        <v/>
      </c>
    </row>
    <row r="945" spans="42:42" x14ac:dyDescent="0.3">
      <c r="AP945" t="str">
        <f t="shared" si="30"/>
        <v/>
      </c>
    </row>
    <row r="946" spans="42:42" x14ac:dyDescent="0.3">
      <c r="AP946" t="str">
        <f t="shared" si="30"/>
        <v/>
      </c>
    </row>
    <row r="947" spans="42:42" x14ac:dyDescent="0.3">
      <c r="AP947" t="str">
        <f t="shared" si="30"/>
        <v/>
      </c>
    </row>
    <row r="948" spans="42:42" x14ac:dyDescent="0.3">
      <c r="AP948" t="str">
        <f t="shared" si="30"/>
        <v/>
      </c>
    </row>
    <row r="949" spans="42:42" x14ac:dyDescent="0.3">
      <c r="AP949" t="str">
        <f t="shared" si="30"/>
        <v/>
      </c>
    </row>
    <row r="950" spans="42:42" x14ac:dyDescent="0.3">
      <c r="AP950" t="str">
        <f t="shared" si="30"/>
        <v/>
      </c>
    </row>
    <row r="951" spans="42:42" x14ac:dyDescent="0.3">
      <c r="AP951" t="str">
        <f t="shared" si="30"/>
        <v/>
      </c>
    </row>
    <row r="952" spans="42:42" x14ac:dyDescent="0.3">
      <c r="AP952" t="str">
        <f t="shared" si="30"/>
        <v/>
      </c>
    </row>
    <row r="953" spans="42:42" x14ac:dyDescent="0.3">
      <c r="AP953" t="str">
        <f t="shared" si="30"/>
        <v/>
      </c>
    </row>
    <row r="954" spans="42:42" x14ac:dyDescent="0.3">
      <c r="AP954" t="str">
        <f t="shared" si="30"/>
        <v/>
      </c>
    </row>
    <row r="955" spans="42:42" x14ac:dyDescent="0.3">
      <c r="AP955" t="str">
        <f t="shared" si="30"/>
        <v/>
      </c>
    </row>
    <row r="956" spans="42:42" x14ac:dyDescent="0.3">
      <c r="AP956" t="str">
        <f t="shared" si="30"/>
        <v/>
      </c>
    </row>
    <row r="957" spans="42:42" x14ac:dyDescent="0.3">
      <c r="AP957" t="str">
        <f t="shared" si="30"/>
        <v/>
      </c>
    </row>
    <row r="958" spans="42:42" x14ac:dyDescent="0.3">
      <c r="AP958" t="str">
        <f t="shared" si="30"/>
        <v/>
      </c>
    </row>
    <row r="959" spans="42:42" x14ac:dyDescent="0.3">
      <c r="AP959" t="str">
        <f t="shared" si="30"/>
        <v/>
      </c>
    </row>
    <row r="960" spans="42:42" x14ac:dyDescent="0.3">
      <c r="AP960" t="str">
        <f t="shared" si="30"/>
        <v/>
      </c>
    </row>
    <row r="961" spans="42:42" x14ac:dyDescent="0.3">
      <c r="AP961" t="str">
        <f t="shared" si="30"/>
        <v/>
      </c>
    </row>
    <row r="962" spans="42:42" x14ac:dyDescent="0.3">
      <c r="AP962" t="str">
        <f t="shared" si="30"/>
        <v/>
      </c>
    </row>
    <row r="963" spans="42:42" x14ac:dyDescent="0.3">
      <c r="AP963" t="str">
        <f t="shared" ref="AP963:AP1026" si="31">IF($Y963="","",
SUM($Y963,$AI963,$AM963,$AJ963,$AL963,$AK963,$AN963,$AD963,$AF963,$AG963)-
IF($AO963="",0,VALUE($AO963)))</f>
        <v/>
      </c>
    </row>
    <row r="964" spans="42:42" x14ac:dyDescent="0.3">
      <c r="AP964" t="str">
        <f t="shared" si="31"/>
        <v/>
      </c>
    </row>
    <row r="965" spans="42:42" x14ac:dyDescent="0.3">
      <c r="AP965" t="str">
        <f t="shared" si="31"/>
        <v/>
      </c>
    </row>
    <row r="966" spans="42:42" x14ac:dyDescent="0.3">
      <c r="AP966" t="str">
        <f t="shared" si="31"/>
        <v/>
      </c>
    </row>
    <row r="967" spans="42:42" x14ac:dyDescent="0.3">
      <c r="AP967" t="str">
        <f t="shared" si="31"/>
        <v/>
      </c>
    </row>
    <row r="968" spans="42:42" x14ac:dyDescent="0.3">
      <c r="AP968" t="str">
        <f t="shared" si="31"/>
        <v/>
      </c>
    </row>
    <row r="969" spans="42:42" x14ac:dyDescent="0.3">
      <c r="AP969" t="str">
        <f t="shared" si="31"/>
        <v/>
      </c>
    </row>
    <row r="970" spans="42:42" x14ac:dyDescent="0.3">
      <c r="AP970" t="str">
        <f t="shared" si="31"/>
        <v/>
      </c>
    </row>
    <row r="971" spans="42:42" x14ac:dyDescent="0.3">
      <c r="AP971" t="str">
        <f t="shared" si="31"/>
        <v/>
      </c>
    </row>
    <row r="972" spans="42:42" x14ac:dyDescent="0.3">
      <c r="AP972" t="str">
        <f t="shared" si="31"/>
        <v/>
      </c>
    </row>
    <row r="973" spans="42:42" x14ac:dyDescent="0.3">
      <c r="AP973" t="str">
        <f t="shared" si="31"/>
        <v/>
      </c>
    </row>
    <row r="974" spans="42:42" x14ac:dyDescent="0.3">
      <c r="AP974" t="str">
        <f t="shared" si="31"/>
        <v/>
      </c>
    </row>
    <row r="975" spans="42:42" x14ac:dyDescent="0.3">
      <c r="AP975" t="str">
        <f t="shared" si="31"/>
        <v/>
      </c>
    </row>
    <row r="976" spans="42:42" x14ac:dyDescent="0.3">
      <c r="AP976" t="str">
        <f t="shared" si="31"/>
        <v/>
      </c>
    </row>
    <row r="977" spans="42:42" x14ac:dyDescent="0.3">
      <c r="AP977" t="str">
        <f t="shared" si="31"/>
        <v/>
      </c>
    </row>
    <row r="978" spans="42:42" x14ac:dyDescent="0.3">
      <c r="AP978" t="str">
        <f t="shared" si="31"/>
        <v/>
      </c>
    </row>
    <row r="979" spans="42:42" x14ac:dyDescent="0.3">
      <c r="AP979" t="str">
        <f t="shared" si="31"/>
        <v/>
      </c>
    </row>
    <row r="980" spans="42:42" x14ac:dyDescent="0.3">
      <c r="AP980" t="str">
        <f t="shared" si="31"/>
        <v/>
      </c>
    </row>
    <row r="981" spans="42:42" x14ac:dyDescent="0.3">
      <c r="AP981" t="str">
        <f t="shared" si="31"/>
        <v/>
      </c>
    </row>
    <row r="982" spans="42:42" x14ac:dyDescent="0.3">
      <c r="AP982" t="str">
        <f t="shared" si="31"/>
        <v/>
      </c>
    </row>
    <row r="983" spans="42:42" x14ac:dyDescent="0.3">
      <c r="AP983" t="str">
        <f t="shared" si="31"/>
        <v/>
      </c>
    </row>
    <row r="984" spans="42:42" x14ac:dyDescent="0.3">
      <c r="AP984" t="str">
        <f t="shared" si="31"/>
        <v/>
      </c>
    </row>
    <row r="985" spans="42:42" x14ac:dyDescent="0.3">
      <c r="AP985" t="str">
        <f t="shared" si="31"/>
        <v/>
      </c>
    </row>
    <row r="986" spans="42:42" x14ac:dyDescent="0.3">
      <c r="AP986" t="str">
        <f t="shared" si="31"/>
        <v/>
      </c>
    </row>
    <row r="987" spans="42:42" x14ac:dyDescent="0.3">
      <c r="AP987" t="str">
        <f t="shared" si="31"/>
        <v/>
      </c>
    </row>
    <row r="988" spans="42:42" x14ac:dyDescent="0.3">
      <c r="AP988" t="str">
        <f t="shared" si="31"/>
        <v/>
      </c>
    </row>
    <row r="989" spans="42:42" x14ac:dyDescent="0.3">
      <c r="AP989" t="str">
        <f t="shared" si="31"/>
        <v/>
      </c>
    </row>
    <row r="990" spans="42:42" x14ac:dyDescent="0.3">
      <c r="AP990" t="str">
        <f t="shared" si="31"/>
        <v/>
      </c>
    </row>
    <row r="991" spans="42:42" x14ac:dyDescent="0.3">
      <c r="AP991" t="str">
        <f t="shared" si="31"/>
        <v/>
      </c>
    </row>
    <row r="992" spans="42:42" x14ac:dyDescent="0.3">
      <c r="AP992" t="str">
        <f t="shared" si="31"/>
        <v/>
      </c>
    </row>
    <row r="993" spans="42:42" x14ac:dyDescent="0.3">
      <c r="AP993" t="str">
        <f t="shared" si="31"/>
        <v/>
      </c>
    </row>
    <row r="994" spans="42:42" x14ac:dyDescent="0.3">
      <c r="AP994" t="str">
        <f t="shared" si="31"/>
        <v/>
      </c>
    </row>
    <row r="995" spans="42:42" x14ac:dyDescent="0.3">
      <c r="AP995" t="str">
        <f t="shared" si="31"/>
        <v/>
      </c>
    </row>
    <row r="996" spans="42:42" x14ac:dyDescent="0.3">
      <c r="AP996" t="str">
        <f t="shared" si="31"/>
        <v/>
      </c>
    </row>
    <row r="997" spans="42:42" x14ac:dyDescent="0.3">
      <c r="AP997" t="str">
        <f t="shared" si="31"/>
        <v/>
      </c>
    </row>
    <row r="998" spans="42:42" x14ac:dyDescent="0.3">
      <c r="AP998" t="str">
        <f t="shared" si="31"/>
        <v/>
      </c>
    </row>
    <row r="999" spans="42:42" x14ac:dyDescent="0.3">
      <c r="AP999" t="str">
        <f t="shared" si="31"/>
        <v/>
      </c>
    </row>
    <row r="1000" spans="42:42" x14ac:dyDescent="0.3">
      <c r="AP1000" t="str">
        <f t="shared" si="31"/>
        <v/>
      </c>
    </row>
    <row r="1001" spans="42:42" x14ac:dyDescent="0.3">
      <c r="AP1001" t="str">
        <f t="shared" si="31"/>
        <v/>
      </c>
    </row>
    <row r="1002" spans="42:42" x14ac:dyDescent="0.3">
      <c r="AP1002" t="str">
        <f t="shared" si="31"/>
        <v/>
      </c>
    </row>
    <row r="1003" spans="42:42" x14ac:dyDescent="0.3">
      <c r="AP1003" t="str">
        <f t="shared" si="31"/>
        <v/>
      </c>
    </row>
    <row r="1004" spans="42:42" x14ac:dyDescent="0.3">
      <c r="AP1004" t="str">
        <f t="shared" si="31"/>
        <v/>
      </c>
    </row>
    <row r="1005" spans="42:42" x14ac:dyDescent="0.3">
      <c r="AP1005" t="str">
        <f t="shared" si="31"/>
        <v/>
      </c>
    </row>
    <row r="1006" spans="42:42" x14ac:dyDescent="0.3">
      <c r="AP1006" t="str">
        <f t="shared" si="31"/>
        <v/>
      </c>
    </row>
    <row r="1007" spans="42:42" x14ac:dyDescent="0.3">
      <c r="AP1007" t="str">
        <f t="shared" si="31"/>
        <v/>
      </c>
    </row>
    <row r="1008" spans="42:42" x14ac:dyDescent="0.3">
      <c r="AP1008" t="str">
        <f t="shared" si="31"/>
        <v/>
      </c>
    </row>
    <row r="1009" spans="42:42" x14ac:dyDescent="0.3">
      <c r="AP1009" t="str">
        <f t="shared" si="31"/>
        <v/>
      </c>
    </row>
    <row r="1010" spans="42:42" x14ac:dyDescent="0.3">
      <c r="AP1010" t="str">
        <f t="shared" si="31"/>
        <v/>
      </c>
    </row>
    <row r="1011" spans="42:42" x14ac:dyDescent="0.3">
      <c r="AP1011" t="str">
        <f t="shared" si="31"/>
        <v/>
      </c>
    </row>
    <row r="1012" spans="42:42" x14ac:dyDescent="0.3">
      <c r="AP1012" t="str">
        <f t="shared" si="31"/>
        <v/>
      </c>
    </row>
    <row r="1013" spans="42:42" x14ac:dyDescent="0.3">
      <c r="AP1013" t="str">
        <f t="shared" si="31"/>
        <v/>
      </c>
    </row>
    <row r="1014" spans="42:42" x14ac:dyDescent="0.3">
      <c r="AP1014" t="str">
        <f t="shared" si="31"/>
        <v/>
      </c>
    </row>
    <row r="1015" spans="42:42" x14ac:dyDescent="0.3">
      <c r="AP1015" t="str">
        <f t="shared" si="31"/>
        <v/>
      </c>
    </row>
    <row r="1016" spans="42:42" x14ac:dyDescent="0.3">
      <c r="AP1016" t="str">
        <f t="shared" si="31"/>
        <v/>
      </c>
    </row>
    <row r="1017" spans="42:42" x14ac:dyDescent="0.3">
      <c r="AP1017" t="str">
        <f t="shared" si="31"/>
        <v/>
      </c>
    </row>
    <row r="1018" spans="42:42" x14ac:dyDescent="0.3">
      <c r="AP1018" t="str">
        <f t="shared" si="31"/>
        <v/>
      </c>
    </row>
    <row r="1019" spans="42:42" x14ac:dyDescent="0.3">
      <c r="AP1019" t="str">
        <f t="shared" si="31"/>
        <v/>
      </c>
    </row>
    <row r="1020" spans="42:42" x14ac:dyDescent="0.3">
      <c r="AP1020" t="str">
        <f t="shared" si="31"/>
        <v/>
      </c>
    </row>
    <row r="1021" spans="42:42" x14ac:dyDescent="0.3">
      <c r="AP1021" t="str">
        <f t="shared" si="31"/>
        <v/>
      </c>
    </row>
    <row r="1022" spans="42:42" x14ac:dyDescent="0.3">
      <c r="AP1022" t="str">
        <f t="shared" si="31"/>
        <v/>
      </c>
    </row>
    <row r="1023" spans="42:42" x14ac:dyDescent="0.3">
      <c r="AP1023" t="str">
        <f t="shared" si="31"/>
        <v/>
      </c>
    </row>
    <row r="1024" spans="42:42" x14ac:dyDescent="0.3">
      <c r="AP1024" t="str">
        <f t="shared" si="31"/>
        <v/>
      </c>
    </row>
    <row r="1025" spans="42:42" x14ac:dyDescent="0.3">
      <c r="AP1025" t="str">
        <f t="shared" si="31"/>
        <v/>
      </c>
    </row>
    <row r="1026" spans="42:42" x14ac:dyDescent="0.3">
      <c r="AP1026" t="str">
        <f t="shared" si="31"/>
        <v/>
      </c>
    </row>
    <row r="1027" spans="42:42" x14ac:dyDescent="0.3">
      <c r="AP1027" t="str">
        <f t="shared" ref="AP1027:AP1063" si="32">IF($Y1027="","",
SUM($Y1027,$AI1027,$AM1027,$AJ1027,$AL1027,$AK1027,$AN1027,$AD1027,$AF1027,$AG1027)-
IF($AO1027="",0,VALUE($AO1027)))</f>
        <v/>
      </c>
    </row>
    <row r="1028" spans="42:42" x14ac:dyDescent="0.3">
      <c r="AP1028" t="str">
        <f t="shared" si="32"/>
        <v/>
      </c>
    </row>
    <row r="1029" spans="42:42" x14ac:dyDescent="0.3">
      <c r="AP1029" t="str">
        <f t="shared" si="32"/>
        <v/>
      </c>
    </row>
    <row r="1030" spans="42:42" x14ac:dyDescent="0.3">
      <c r="AP1030" t="str">
        <f t="shared" si="32"/>
        <v/>
      </c>
    </row>
    <row r="1031" spans="42:42" x14ac:dyDescent="0.3">
      <c r="AP1031" t="str">
        <f t="shared" si="32"/>
        <v/>
      </c>
    </row>
    <row r="1032" spans="42:42" x14ac:dyDescent="0.3">
      <c r="AP1032" t="str">
        <f t="shared" si="32"/>
        <v/>
      </c>
    </row>
    <row r="1033" spans="42:42" x14ac:dyDescent="0.3">
      <c r="AP1033" t="str">
        <f t="shared" si="32"/>
        <v/>
      </c>
    </row>
    <row r="1034" spans="42:42" x14ac:dyDescent="0.3">
      <c r="AP1034" t="str">
        <f t="shared" si="32"/>
        <v/>
      </c>
    </row>
    <row r="1035" spans="42:42" x14ac:dyDescent="0.3">
      <c r="AP1035" t="str">
        <f t="shared" si="32"/>
        <v/>
      </c>
    </row>
    <row r="1036" spans="42:42" x14ac:dyDescent="0.3">
      <c r="AP1036" t="str">
        <f t="shared" si="32"/>
        <v/>
      </c>
    </row>
    <row r="1037" spans="42:42" x14ac:dyDescent="0.3">
      <c r="AP1037" t="str">
        <f t="shared" si="32"/>
        <v/>
      </c>
    </row>
    <row r="1038" spans="42:42" x14ac:dyDescent="0.3">
      <c r="AP1038" t="str">
        <f t="shared" si="32"/>
        <v/>
      </c>
    </row>
    <row r="1039" spans="42:42" x14ac:dyDescent="0.3">
      <c r="AP1039" t="str">
        <f t="shared" si="32"/>
        <v/>
      </c>
    </row>
    <row r="1040" spans="42:42" x14ac:dyDescent="0.3">
      <c r="AP1040" t="str">
        <f t="shared" si="32"/>
        <v/>
      </c>
    </row>
    <row r="1041" spans="42:42" x14ac:dyDescent="0.3">
      <c r="AP1041" t="str">
        <f t="shared" si="32"/>
        <v/>
      </c>
    </row>
    <row r="1042" spans="42:42" x14ac:dyDescent="0.3">
      <c r="AP1042" t="str">
        <f t="shared" si="32"/>
        <v/>
      </c>
    </row>
    <row r="1043" spans="42:42" x14ac:dyDescent="0.3">
      <c r="AP1043" t="str">
        <f t="shared" si="32"/>
        <v/>
      </c>
    </row>
    <row r="1044" spans="42:42" x14ac:dyDescent="0.3">
      <c r="AP1044" t="str">
        <f t="shared" si="32"/>
        <v/>
      </c>
    </row>
    <row r="1045" spans="42:42" x14ac:dyDescent="0.3">
      <c r="AP1045" t="str">
        <f t="shared" si="32"/>
        <v/>
      </c>
    </row>
    <row r="1046" spans="42:42" x14ac:dyDescent="0.3">
      <c r="AP1046" t="str">
        <f t="shared" si="32"/>
        <v/>
      </c>
    </row>
    <row r="1047" spans="42:42" x14ac:dyDescent="0.3">
      <c r="AP1047" t="str">
        <f t="shared" si="32"/>
        <v/>
      </c>
    </row>
    <row r="1048" spans="42:42" x14ac:dyDescent="0.3">
      <c r="AP1048" t="str">
        <f t="shared" si="32"/>
        <v/>
      </c>
    </row>
    <row r="1049" spans="42:42" x14ac:dyDescent="0.3">
      <c r="AP1049" t="str">
        <f t="shared" si="32"/>
        <v/>
      </c>
    </row>
    <row r="1050" spans="42:42" x14ac:dyDescent="0.3">
      <c r="AP1050" t="str">
        <f t="shared" si="32"/>
        <v/>
      </c>
    </row>
    <row r="1051" spans="42:42" x14ac:dyDescent="0.3">
      <c r="AP1051" t="str">
        <f t="shared" si="32"/>
        <v/>
      </c>
    </row>
    <row r="1052" spans="42:42" x14ac:dyDescent="0.3">
      <c r="AP1052" t="str">
        <f t="shared" si="32"/>
        <v/>
      </c>
    </row>
    <row r="1053" spans="42:42" x14ac:dyDescent="0.3">
      <c r="AP1053" t="str">
        <f t="shared" si="32"/>
        <v/>
      </c>
    </row>
    <row r="1054" spans="42:42" x14ac:dyDescent="0.3">
      <c r="AP1054" t="str">
        <f t="shared" si="32"/>
        <v/>
      </c>
    </row>
    <row r="1055" spans="42:42" x14ac:dyDescent="0.3">
      <c r="AP1055" t="str">
        <f t="shared" si="32"/>
        <v/>
      </c>
    </row>
    <row r="1056" spans="42:42" x14ac:dyDescent="0.3">
      <c r="AP1056" t="str">
        <f t="shared" si="32"/>
        <v/>
      </c>
    </row>
    <row r="1057" spans="42:42" x14ac:dyDescent="0.3">
      <c r="AP1057" t="str">
        <f t="shared" si="32"/>
        <v/>
      </c>
    </row>
    <row r="1058" spans="42:42" x14ac:dyDescent="0.3">
      <c r="AP1058" t="str">
        <f t="shared" si="32"/>
        <v/>
      </c>
    </row>
    <row r="1059" spans="42:42" x14ac:dyDescent="0.3">
      <c r="AP1059" t="str">
        <f t="shared" si="32"/>
        <v/>
      </c>
    </row>
    <row r="1060" spans="42:42" x14ac:dyDescent="0.3">
      <c r="AP1060" t="str">
        <f>IF($Y1060="","",
SUM($Y1060,$AI1060,$AM1060,$AJ1060,$AL1060,$AK1060,$AN1060,$AD1060,$AF1060,$AG1060)-
IF($AO1060="",0,VALUE($AO1060)))</f>
        <v/>
      </c>
    </row>
    <row r="1061" spans="42:42" x14ac:dyDescent="0.3">
      <c r="AP1061" t="str">
        <f t="shared" si="32"/>
        <v/>
      </c>
    </row>
    <row r="1062" spans="42:42" x14ac:dyDescent="0.3">
      <c r="AP1062" t="str">
        <f t="shared" si="32"/>
        <v/>
      </c>
    </row>
    <row r="1063" spans="42:42" x14ac:dyDescent="0.3">
      <c r="AP1063" t="str">
        <f t="shared" si="32"/>
        <v/>
      </c>
    </row>
  </sheetData>
  <dataValidations count="24">
    <dataValidation type="list" errorStyle="warning" allowBlank="1" showErrorMessage="1" errorTitle="Invalid value" error="Select a value from the dropdown list." sqref="A10:A101">
      <formula1>"Sale Invoice,Debit Note"</formula1>
    </dataValidation>
    <dataValidation type="list" errorStyle="warning" allowBlank="1" showErrorMessage="1" errorTitle="Invalid value" error="Select a value from the dropdown list." sqref="A2:A101">
      <formula1>"Sale Invoice,Debit Note"</formula1>
    </dataValidation>
    <dataValidation type="list" errorStyle="warning" allowBlank="1" showErrorMessage="1" errorTitle="Invalid VAT" error="Select 18% or 25% from the dropdown." sqref="AE10:AE101">
      <formula1>"18%,25%"</formula1>
    </dataValidation>
    <dataValidation type="list" errorStyle="warning" allowBlank="1" showErrorMessage="1" errorTitle="Invalid VAT" error="Select 18% or 25% from the dropdown." sqref="AE2:AE101">
      <formula1>"18%,25%"</formula1>
    </dataValidation>
    <dataValidation type="decimal" errorStyle="warning" operator="greaterThanOrEqual" allowBlank="1" showErrorMessage="1" errorTitle="Invalid Extra Tax" error="Extra Tax must be a positive number." sqref="AK10:AK101">
      <formula1>0</formula1>
    </dataValidation>
    <dataValidation type="decimal" errorStyle="warning" operator="greaterThanOrEqual" allowBlank="1" showErrorMessage="1" errorTitle="Invalid Extra Tax" error="Extra Tax must be a positive number." sqref="AK2:AK101">
      <formula1>0</formula1>
    </dataValidation>
    <dataValidation type="decimal" errorStyle="warning" operator="greaterThanOrEqual" allowBlank="1" showErrorMessage="1" errorTitle="Invalid Advance Income Tax" error="Advance Income Tax must be a positive number." sqref="AN10:AN101">
      <formula1>0</formula1>
    </dataValidation>
    <dataValidation type="decimal" errorStyle="warning" operator="greaterThanOrEqual" allowBlank="1" showErrorMessage="1" errorTitle="Invalid Advance Income Tax" error="Advance Income Tax must be a positive number." sqref="AN2:AN101">
      <formula1>0</formula1>
    </dataValidation>
    <dataValidation type="decimal" errorStyle="warning" operator="greaterThanOrEqual" allowBlank="1" showErrorMessage="1" errorTitle="Invalid Discount" error="Discount must be a positive number (amount)." sqref="AO10:AO101">
      <formula1>0</formula1>
    </dataValidation>
    <dataValidation type="decimal" errorStyle="warning" operator="greaterThanOrEqual" allowBlank="1" showErrorMessage="1" errorTitle="Invalid Discount" error="Discount must be a positive number (amount)." sqref="AO2:AO101">
      <formula1>0</formula1>
    </dataValidation>
    <dataValidation type="list" allowBlank="1" showErrorMessage="1" sqref="R10:R101">
      <formula1>$AS$2:$AS$27</formula1>
    </dataValidation>
    <dataValidation type="list" allowBlank="1" showErrorMessage="1" sqref="R2:R101">
      <formula1>$AS$2:$AS$27</formula1>
    </dataValidation>
    <dataValidation type="list" errorStyle="warning" allowBlank="1" showErrorMessage="1" errorTitle="Invalid Rate" error="Select a valid rate from the dropdown list." sqref="S10:S101">
      <formula1>$AU$2:$AU$67</formula1>
    </dataValidation>
    <dataValidation type="list" errorStyle="warning" allowBlank="1" showErrorMessage="1" errorTitle="Invalid Rate" error="Select a valid rate from the dropdown list." sqref="S2:S101">
      <formula1>$AU$2:$AU$67</formula1>
    </dataValidation>
    <dataValidation type="list" errorStyle="warning" allowBlank="1" showErrorMessage="1" errorTitle="Invalid SRO Schedule" error="Select a valid SRO Schedule from the dropdown list." sqref="T10:T101">
      <formula1>$AV$2:$AV$26</formula1>
    </dataValidation>
    <dataValidation type="list" errorStyle="warning" allowBlank="1" showErrorMessage="1" errorTitle="Invalid SRO Schedule" error="Select a valid SRO Schedule from the dropdown list." sqref="T2:T101">
      <formula1>$AV$2:$AV$26</formula1>
    </dataValidation>
    <dataValidation type="list" errorStyle="warning" allowBlank="1" showErrorMessage="1" errorTitle="Invalid SRO Item" error="Select a valid SRO Item from the dropdown list." sqref="U10:U101">
      <formula1>$AW$2:$AW$735</formula1>
    </dataValidation>
    <dataValidation type="list" errorStyle="warning" allowBlank="1" showErrorMessage="1" errorTitle="Invalid SRO Item" error="Select a valid SRO Item from the dropdown list." sqref="U2:U101">
      <formula1>$AW$2:$AW$735</formula1>
    </dataValidation>
    <dataValidation type="list" errorStyle="warning" allowBlank="1" showErrorMessage="1" errorTitle="Invalid UoM" error="Select a valid Unit of Measurement from the dropdown list." sqref="W10:W101">
      <formula1>$AT$2:$AT$33</formula1>
    </dataValidation>
    <dataValidation type="list" errorStyle="warning" allowBlank="1" showErrorMessage="1" errorTitle="Invalid UoM" error="Select a valid Unit of Measurement from the dropdown list." sqref="W2:W101">
      <formula1>$AT$2:$AT$33</formula1>
    </dataValidation>
    <dataValidation type="decimal" errorStyle="warning" operator="greaterThan" allowBlank="1" showErrorMessage="1" errorTitle="Invalid Value (Excl. ST)" error="Value (Excl. ST) must be a positive number." sqref="Y10:Y101">
      <formula1>0</formula1>
    </dataValidation>
    <dataValidation type="decimal" errorStyle="warning" operator="greaterThan" allowBlank="1" showErrorMessage="1" errorTitle="Invalid Value (Excl. ST)" error="Value (Excl. ST) must be a positive number." sqref="Y2:Y101">
      <formula1>0</formula1>
    </dataValidation>
    <dataValidation type="decimal" errorStyle="warning" operator="greaterThan" allowBlank="1" showErrorMessage="1" errorTitle="Invalid Quantity" error="Quantity must be a positive number." sqref="Z10:Z101">
      <formula1>0</formula1>
    </dataValidation>
    <dataValidation type="decimal" errorStyle="warning" operator="greaterThan" allowBlank="1" showErrorMessage="1" errorTitle="Invalid Quantity" error="Quantity must be a positive number." sqref="Z2:Z101">
      <formula1>0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2026-08-11T14:51:36Z</dcterms:created>
  <dcterms:modified xsi:type="dcterms:W3CDTF">2026-08-11T14:59:18Z</dcterms:modified>
  <cp:category/>
</cp:coreProperties>
</file>