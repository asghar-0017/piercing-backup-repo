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180"/>
  </bookViews>
  <sheets>
    <sheet name="Template" sheetId="1" r:id="rId1"/>
  </sheets>
  <calcPr calcId="152511"/>
</workbook>
</file>

<file path=xl/calcChain.xml><?xml version="1.0" encoding="utf-8"?>
<calcChain xmlns="http://schemas.openxmlformats.org/spreadsheetml/2006/main">
  <c r="W101" i="1" l="1"/>
  <c r="P101" i="1"/>
  <c r="O101" i="1"/>
  <c r="J101" i="1"/>
  <c r="W100" i="1"/>
  <c r="P100" i="1"/>
  <c r="O100" i="1"/>
  <c r="J100" i="1"/>
  <c r="W99" i="1"/>
  <c r="P99" i="1"/>
  <c r="O99" i="1"/>
  <c r="J99" i="1"/>
  <c r="W98" i="1"/>
  <c r="P98" i="1"/>
  <c r="O98" i="1"/>
  <c r="J98" i="1"/>
  <c r="W97" i="1"/>
  <c r="P97" i="1"/>
  <c r="O97" i="1"/>
  <c r="J97" i="1"/>
  <c r="W96" i="1"/>
  <c r="P96" i="1"/>
  <c r="O96" i="1"/>
  <c r="J96" i="1"/>
  <c r="W95" i="1"/>
  <c r="P95" i="1"/>
  <c r="O95" i="1"/>
  <c r="J95" i="1"/>
  <c r="W94" i="1"/>
  <c r="P94" i="1"/>
  <c r="O94" i="1"/>
  <c r="J94" i="1"/>
  <c r="W93" i="1"/>
  <c r="P93" i="1"/>
  <c r="O93" i="1"/>
  <c r="J93" i="1"/>
  <c r="W92" i="1"/>
  <c r="P92" i="1"/>
  <c r="O92" i="1"/>
  <c r="J92" i="1"/>
  <c r="W91" i="1"/>
  <c r="P91" i="1"/>
  <c r="O91" i="1"/>
  <c r="J91" i="1"/>
  <c r="W90" i="1"/>
  <c r="P90" i="1"/>
  <c r="O90" i="1"/>
  <c r="J90" i="1"/>
  <c r="W89" i="1"/>
  <c r="P89" i="1"/>
  <c r="O89" i="1"/>
  <c r="J89" i="1"/>
  <c r="W88" i="1"/>
  <c r="P88" i="1"/>
  <c r="O88" i="1"/>
  <c r="J88" i="1"/>
  <c r="W87" i="1"/>
  <c r="P87" i="1"/>
  <c r="O87" i="1"/>
  <c r="J87" i="1"/>
  <c r="W86" i="1"/>
  <c r="P86" i="1"/>
  <c r="O86" i="1"/>
  <c r="J86" i="1"/>
  <c r="W85" i="1"/>
  <c r="P85" i="1"/>
  <c r="O85" i="1"/>
  <c r="J85" i="1"/>
  <c r="W84" i="1"/>
  <c r="P84" i="1"/>
  <c r="O84" i="1"/>
  <c r="J84" i="1"/>
  <c r="W83" i="1"/>
  <c r="P83" i="1"/>
  <c r="O83" i="1"/>
  <c r="J83" i="1"/>
  <c r="W82" i="1"/>
  <c r="P82" i="1"/>
  <c r="O82" i="1"/>
  <c r="J82" i="1"/>
  <c r="W81" i="1"/>
  <c r="P81" i="1"/>
  <c r="O81" i="1"/>
  <c r="J81" i="1"/>
  <c r="W80" i="1"/>
  <c r="P80" i="1"/>
  <c r="O80" i="1"/>
  <c r="J80" i="1"/>
  <c r="W79" i="1"/>
  <c r="P79" i="1"/>
  <c r="O79" i="1"/>
  <c r="J79" i="1"/>
  <c r="W78" i="1"/>
  <c r="P78" i="1"/>
  <c r="O78" i="1"/>
  <c r="J78" i="1"/>
  <c r="W77" i="1"/>
  <c r="P77" i="1"/>
  <c r="O77" i="1"/>
  <c r="J77" i="1"/>
  <c r="W76" i="1"/>
  <c r="P76" i="1"/>
  <c r="O76" i="1"/>
  <c r="J76" i="1"/>
  <c r="W75" i="1"/>
  <c r="P75" i="1"/>
  <c r="O75" i="1"/>
  <c r="J75" i="1"/>
  <c r="W74" i="1"/>
  <c r="P74" i="1"/>
  <c r="O74" i="1"/>
  <c r="J74" i="1"/>
  <c r="W73" i="1"/>
  <c r="P73" i="1"/>
  <c r="O73" i="1"/>
  <c r="J73" i="1"/>
  <c r="W72" i="1"/>
  <c r="P72" i="1"/>
  <c r="O72" i="1"/>
  <c r="J72" i="1"/>
  <c r="W71" i="1"/>
  <c r="P71" i="1"/>
  <c r="O71" i="1"/>
  <c r="J71" i="1"/>
  <c r="W70" i="1"/>
  <c r="P70" i="1"/>
  <c r="O70" i="1"/>
  <c r="J70" i="1"/>
  <c r="W69" i="1"/>
  <c r="P69" i="1"/>
  <c r="O69" i="1"/>
  <c r="J69" i="1"/>
  <c r="W68" i="1"/>
  <c r="P68" i="1"/>
  <c r="O68" i="1"/>
  <c r="J68" i="1"/>
  <c r="W67" i="1"/>
  <c r="P67" i="1"/>
  <c r="O67" i="1"/>
  <c r="J67" i="1"/>
  <c r="W66" i="1"/>
  <c r="P66" i="1"/>
  <c r="O66" i="1"/>
  <c r="J66" i="1"/>
  <c r="W65" i="1"/>
  <c r="P65" i="1"/>
  <c r="O65" i="1"/>
  <c r="J65" i="1"/>
  <c r="W64" i="1"/>
  <c r="P64" i="1"/>
  <c r="O64" i="1"/>
  <c r="J64" i="1"/>
  <c r="W63" i="1"/>
  <c r="P63" i="1"/>
  <c r="O63" i="1"/>
  <c r="J63" i="1"/>
  <c r="W62" i="1"/>
  <c r="P62" i="1"/>
  <c r="O62" i="1"/>
  <c r="J62" i="1"/>
  <c r="W61" i="1"/>
  <c r="P61" i="1"/>
  <c r="O61" i="1"/>
  <c r="J61" i="1"/>
  <c r="W60" i="1"/>
  <c r="P60" i="1"/>
  <c r="O60" i="1"/>
  <c r="J60" i="1"/>
  <c r="W59" i="1"/>
  <c r="P59" i="1"/>
  <c r="O59" i="1"/>
  <c r="J59" i="1"/>
  <c r="W58" i="1"/>
  <c r="P58" i="1"/>
  <c r="O58" i="1"/>
  <c r="J58" i="1"/>
  <c r="W57" i="1"/>
  <c r="P57" i="1"/>
  <c r="O57" i="1"/>
  <c r="J57" i="1"/>
  <c r="W56" i="1"/>
  <c r="P56" i="1"/>
  <c r="O56" i="1"/>
  <c r="J56" i="1"/>
  <c r="W55" i="1"/>
  <c r="P55" i="1"/>
  <c r="O55" i="1"/>
  <c r="J55" i="1"/>
  <c r="W54" i="1"/>
  <c r="P54" i="1"/>
  <c r="O54" i="1"/>
  <c r="J54" i="1"/>
  <c r="W53" i="1"/>
  <c r="P53" i="1"/>
  <c r="O53" i="1"/>
  <c r="J53" i="1"/>
  <c r="W52" i="1"/>
  <c r="P52" i="1"/>
  <c r="O52" i="1"/>
  <c r="J52" i="1"/>
  <c r="W51" i="1"/>
  <c r="P51" i="1"/>
  <c r="O51" i="1"/>
  <c r="J51" i="1"/>
  <c r="W50" i="1"/>
  <c r="P50" i="1"/>
  <c r="O50" i="1"/>
  <c r="J50" i="1"/>
  <c r="W49" i="1"/>
  <c r="P49" i="1"/>
  <c r="O49" i="1"/>
  <c r="J49" i="1"/>
  <c r="W48" i="1"/>
  <c r="P48" i="1"/>
  <c r="O48" i="1"/>
  <c r="J48" i="1"/>
  <c r="W47" i="1"/>
  <c r="P47" i="1"/>
  <c r="O47" i="1"/>
  <c r="J47" i="1"/>
  <c r="W46" i="1"/>
  <c r="P46" i="1"/>
  <c r="O46" i="1"/>
  <c r="J46" i="1"/>
  <c r="W45" i="1"/>
  <c r="P45" i="1"/>
  <c r="O45" i="1"/>
  <c r="J45" i="1"/>
  <c r="W44" i="1"/>
  <c r="P44" i="1"/>
  <c r="O44" i="1"/>
  <c r="J44" i="1"/>
  <c r="W43" i="1"/>
  <c r="P43" i="1"/>
  <c r="O43" i="1"/>
  <c r="J43" i="1"/>
  <c r="W42" i="1"/>
  <c r="P42" i="1"/>
  <c r="O42" i="1"/>
  <c r="J42" i="1"/>
  <c r="W41" i="1"/>
  <c r="P41" i="1"/>
  <c r="O41" i="1"/>
  <c r="J41" i="1"/>
  <c r="W40" i="1"/>
  <c r="P40" i="1"/>
  <c r="O40" i="1"/>
  <c r="J40" i="1"/>
  <c r="W39" i="1"/>
  <c r="P39" i="1"/>
  <c r="O39" i="1"/>
  <c r="J39" i="1"/>
  <c r="W38" i="1"/>
  <c r="P38" i="1"/>
  <c r="O38" i="1"/>
  <c r="J38" i="1"/>
  <c r="W37" i="1"/>
  <c r="P37" i="1"/>
  <c r="O37" i="1"/>
  <c r="J37" i="1"/>
  <c r="W36" i="1"/>
  <c r="P36" i="1"/>
  <c r="O36" i="1"/>
  <c r="J36" i="1"/>
  <c r="W35" i="1"/>
  <c r="P35" i="1"/>
  <c r="O35" i="1"/>
  <c r="J35" i="1"/>
  <c r="W34" i="1"/>
  <c r="P34" i="1"/>
  <c r="O34" i="1"/>
  <c r="J34" i="1"/>
  <c r="W33" i="1"/>
  <c r="P33" i="1"/>
  <c r="O33" i="1"/>
  <c r="J33" i="1"/>
  <c r="W32" i="1"/>
  <c r="P32" i="1"/>
  <c r="O32" i="1"/>
  <c r="J32" i="1"/>
  <c r="W31" i="1"/>
  <c r="P31" i="1"/>
  <c r="O31" i="1"/>
  <c r="J31" i="1"/>
  <c r="W30" i="1"/>
  <c r="P30" i="1"/>
  <c r="O30" i="1"/>
  <c r="J30" i="1"/>
  <c r="W29" i="1"/>
  <c r="P29" i="1"/>
  <c r="O29" i="1"/>
  <c r="J29" i="1"/>
  <c r="W28" i="1"/>
  <c r="P28" i="1"/>
  <c r="O28" i="1"/>
  <c r="J28" i="1"/>
  <c r="W27" i="1"/>
  <c r="P27" i="1"/>
  <c r="O27" i="1"/>
  <c r="J27" i="1"/>
  <c r="W26" i="1"/>
  <c r="P26" i="1"/>
  <c r="O26" i="1"/>
  <c r="J26" i="1"/>
  <c r="W25" i="1"/>
  <c r="P25" i="1"/>
  <c r="O25" i="1"/>
  <c r="J25" i="1"/>
  <c r="W24" i="1"/>
  <c r="P24" i="1"/>
  <c r="O24" i="1"/>
  <c r="J24" i="1"/>
  <c r="W23" i="1"/>
  <c r="P23" i="1"/>
  <c r="O23" i="1"/>
  <c r="J23" i="1"/>
  <c r="W22" i="1"/>
  <c r="P22" i="1"/>
  <c r="O22" i="1"/>
  <c r="J22" i="1"/>
  <c r="W21" i="1"/>
  <c r="P21" i="1"/>
  <c r="O21" i="1"/>
  <c r="J21" i="1"/>
  <c r="W20" i="1"/>
  <c r="P20" i="1"/>
  <c r="O20" i="1"/>
  <c r="J20" i="1"/>
  <c r="W19" i="1"/>
  <c r="P19" i="1"/>
  <c r="O19" i="1"/>
  <c r="J19" i="1"/>
  <c r="W18" i="1"/>
  <c r="P18" i="1"/>
  <c r="O18" i="1"/>
  <c r="J18" i="1"/>
  <c r="W17" i="1"/>
  <c r="P17" i="1"/>
  <c r="O17" i="1"/>
  <c r="J17" i="1"/>
  <c r="W16" i="1"/>
  <c r="P16" i="1"/>
  <c r="O16" i="1"/>
  <c r="J16" i="1"/>
  <c r="W15" i="1"/>
  <c r="P15" i="1"/>
  <c r="O15" i="1"/>
  <c r="J15" i="1"/>
  <c r="W14" i="1"/>
  <c r="P14" i="1"/>
  <c r="O14" i="1"/>
  <c r="J14" i="1"/>
  <c r="W13" i="1"/>
  <c r="P13" i="1"/>
  <c r="O13" i="1"/>
  <c r="J13" i="1"/>
  <c r="W12" i="1"/>
  <c r="P12" i="1"/>
  <c r="O12" i="1"/>
  <c r="J12" i="1"/>
  <c r="W11" i="1"/>
  <c r="P11" i="1"/>
  <c r="O11" i="1"/>
  <c r="J11" i="1"/>
  <c r="W10" i="1"/>
  <c r="P10" i="1"/>
  <c r="O10" i="1"/>
  <c r="J10" i="1"/>
  <c r="W9" i="1"/>
  <c r="P9" i="1"/>
  <c r="O9" i="1"/>
  <c r="J9" i="1"/>
  <c r="W8" i="1"/>
  <c r="P8" i="1"/>
  <c r="O8" i="1"/>
  <c r="J8" i="1"/>
  <c r="W7" i="1"/>
  <c r="P7" i="1"/>
  <c r="O7" i="1"/>
  <c r="J7" i="1"/>
  <c r="W6" i="1"/>
  <c r="P6" i="1"/>
  <c r="O6" i="1"/>
  <c r="J6" i="1"/>
  <c r="W5" i="1"/>
  <c r="P5" i="1"/>
  <c r="O5" i="1"/>
  <c r="J5" i="1"/>
  <c r="W4" i="1"/>
  <c r="P4" i="1"/>
  <c r="O4" i="1"/>
  <c r="J4" i="1"/>
  <c r="W3" i="1"/>
  <c r="P3" i="1"/>
  <c r="O3" i="1"/>
  <c r="J3" i="1"/>
  <c r="P2" i="1"/>
  <c r="W2" i="1" s="1"/>
  <c r="O2" i="1"/>
  <c r="J2" i="1"/>
</calcChain>
</file>

<file path=xl/sharedStrings.xml><?xml version="1.0" encoding="utf-8"?>
<sst xmlns="http://schemas.openxmlformats.org/spreadsheetml/2006/main" count="919" uniqueCount="918">
  <si>
    <t>Invoice Type</t>
  </si>
  <si>
    <t>Invoice Date</t>
  </si>
  <si>
    <t>DN Invoice Ref No</t>
  </si>
  <si>
    <t>Company Invoice Ref No</t>
  </si>
  <si>
    <t>Buyer NTN/CNIC</t>
  </si>
  <si>
    <t>Transaction Type</t>
  </si>
  <si>
    <t>Rate</t>
  </si>
  <si>
    <t>SRO Schedule No</t>
  </si>
  <si>
    <t>SRO Item No</t>
  </si>
  <si>
    <t>Sale Type</t>
  </si>
  <si>
    <t>Unit Of Measurement</t>
  </si>
  <si>
    <t>Product Name</t>
  </si>
  <si>
    <t>Value Sales (Excl ST)</t>
  </si>
  <si>
    <t>Quantity</t>
  </si>
  <si>
    <t>Unit Cost</t>
  </si>
  <si>
    <t>Sales Tax Applicable</t>
  </si>
  <si>
    <t>ST Withheld at Source</t>
  </si>
  <si>
    <t>Extra Tax</t>
  </si>
  <si>
    <t>Further Tax</t>
  </si>
  <si>
    <t>FED Payable</t>
  </si>
  <si>
    <t>Advance Income Tax</t>
  </si>
  <si>
    <t>Discount</t>
  </si>
  <si>
    <t>Total Values</t>
  </si>
  <si>
    <t>Sale Invoice</t>
  </si>
  <si>
    <t>BALOCHISTAN</t>
  </si>
  <si>
    <t>75 - Goods at standard rate (default)</t>
  </si>
  <si>
    <t>1000 kWh</t>
  </si>
  <si>
    <t>18%</t>
  </si>
  <si>
    <t>N/A</t>
  </si>
  <si>
    <t>Debit Note</t>
  </si>
  <si>
    <t>AZAD JAMMU AND KASHMIR</t>
  </si>
  <si>
    <t>24 - Goods at Reduced Rate</t>
  </si>
  <si>
    <t>40KG</t>
  </si>
  <si>
    <t>0.5%</t>
  </si>
  <si>
    <t>01(I)/2022</t>
  </si>
  <si>
    <t>-</t>
  </si>
  <si>
    <t>CAPITAL TERRITORY</t>
  </si>
  <si>
    <t>80 - Goods at zero-rate</t>
  </si>
  <si>
    <t>Bag</t>
  </si>
  <si>
    <t>1%</t>
  </si>
  <si>
    <t>1450(I)/2021</t>
  </si>
  <si>
    <t>1</t>
  </si>
  <si>
    <t>KHYBER PAKHTUNKHWA</t>
  </si>
  <si>
    <t>85 - Petroleum Products</t>
  </si>
  <si>
    <t>Barrels</t>
  </si>
  <si>
    <t>1.5%</t>
  </si>
  <si>
    <t>1579(1)/2021</t>
  </si>
  <si>
    <t>1(A)</t>
  </si>
  <si>
    <t>PUNJAB</t>
  </si>
  <si>
    <t>62 - Electricity Supply to Retailers</t>
  </si>
  <si>
    <t>Bill of lading</t>
  </si>
  <si>
    <t>2%</t>
  </si>
  <si>
    <t>1604(I)/2021</t>
  </si>
  <si>
    <t>1(B)</t>
  </si>
  <si>
    <t>SINDH</t>
  </si>
  <si>
    <t>129 - SIM</t>
  </si>
  <si>
    <t>Carat</t>
  </si>
  <si>
    <t>3%</t>
  </si>
  <si>
    <t>297(I)/2023-Table-I</t>
  </si>
  <si>
    <t>1(E)</t>
  </si>
  <si>
    <t>GILGIT BALTISTAN</t>
  </si>
  <si>
    <t>77 - Gas to CNG stations</t>
  </si>
  <si>
    <t>Cubic Metre</t>
  </si>
  <si>
    <t>4.5%</t>
  </si>
  <si>
    <t>297(I)/2023-Table-II</t>
  </si>
  <si>
    <t>1(F)</t>
  </si>
  <si>
    <t>122 - Mobile Phones</t>
  </si>
  <si>
    <t>Dozen</t>
  </si>
  <si>
    <t>5%</t>
  </si>
  <si>
    <t>321(I)/2022</t>
  </si>
  <si>
    <t>1(G)</t>
  </si>
  <si>
    <t>25 - Processing/Conversion of Goods</t>
  </si>
  <si>
    <t>Foot</t>
  </si>
  <si>
    <t>7%</t>
  </si>
  <si>
    <t>327(I)/2008</t>
  </si>
  <si>
    <t>1(i)</t>
  </si>
  <si>
    <t xml:space="preserve">23 -  3rd Schedule Goods </t>
  </si>
  <si>
    <t>Gallon</t>
  </si>
  <si>
    <t>7.5%</t>
  </si>
  <si>
    <t>587(I)/2017</t>
  </si>
  <si>
    <t>1(i)(a)</t>
  </si>
  <si>
    <t>21 - Goods (FED in ST Mode)</t>
  </si>
  <si>
    <t>Gram</t>
  </si>
  <si>
    <t>8%</t>
  </si>
  <si>
    <t>6th Schd Table I</t>
  </si>
  <si>
    <t>1(i)(b)</t>
  </si>
  <si>
    <t xml:space="preserve">22 -  Services (FED in ST Mode) </t>
  </si>
  <si>
    <t>KG</t>
  </si>
  <si>
    <t>8.5%</t>
  </si>
  <si>
    <t>6th Schd Table II</t>
  </si>
  <si>
    <t>1(i)(i)</t>
  </si>
  <si>
    <t xml:space="preserve">18 -  Services </t>
  </si>
  <si>
    <t>KWH</t>
  </si>
  <si>
    <t>10%</t>
  </si>
  <si>
    <t>6th Schd Table III</t>
  </si>
  <si>
    <t>1(ii)</t>
  </si>
  <si>
    <t>81 - Exempt goods</t>
  </si>
  <si>
    <t>Kilogram</t>
  </si>
  <si>
    <t>12.5%</t>
  </si>
  <si>
    <t>88(I)/2022</t>
  </si>
  <si>
    <t>1(ii)(a)</t>
  </si>
  <si>
    <t>82 - DTRE goods</t>
  </si>
  <si>
    <t>Liter</t>
  </si>
  <si>
    <t>12.75%</t>
  </si>
  <si>
    <t>EIGHTH SCHEDULE Table 1</t>
  </si>
  <si>
    <t>1(ii)(b)</t>
  </si>
  <si>
    <t>130 - Cotton ginners</t>
  </si>
  <si>
    <t>MMBTU</t>
  </si>
  <si>
    <t>13%</t>
  </si>
  <si>
    <t>EIGHTH SCHEDULE Table 2</t>
  </si>
  <si>
    <t>1(ii)(ii)(a)</t>
  </si>
  <si>
    <t>132 - Electric Vehicle</t>
  </si>
  <si>
    <t>MT</t>
  </si>
  <si>
    <t>15%</t>
  </si>
  <si>
    <t>Eighth Schedule Table 1</t>
  </si>
  <si>
    <t>1(ii)(ii)(b)</t>
  </si>
  <si>
    <t>134 - Cement /Concrete Block</t>
  </si>
  <si>
    <t>Mega Watt</t>
  </si>
  <si>
    <t>17%</t>
  </si>
  <si>
    <t>FIFTH SCHEDULE</t>
  </si>
  <si>
    <t>1(iii)</t>
  </si>
  <si>
    <t>84 - Telecommunication services</t>
  </si>
  <si>
    <t>Meter</t>
  </si>
  <si>
    <t>Rs.700/MT</t>
  </si>
  <si>
    <t>ICTO</t>
  </si>
  <si>
    <t>1(iv)</t>
  </si>
  <si>
    <t>123 - Steel melting and re-rolling</t>
  </si>
  <si>
    <t>NO</t>
  </si>
  <si>
    <t>0%</t>
  </si>
  <si>
    <t>ICTO TABLE I</t>
  </si>
  <si>
    <t>1(v)</t>
  </si>
  <si>
    <t>125 - Ship breaking</t>
  </si>
  <si>
    <t>Numbers, pieces, units</t>
  </si>
  <si>
    <t>0.20%</t>
  </si>
  <si>
    <t>ICTO TABLE II</t>
  </si>
  <si>
    <t>1(vi)</t>
  </si>
  <si>
    <t>115 - Potassium Chlorate</t>
  </si>
  <si>
    <t>Others</t>
  </si>
  <si>
    <t>0.46%</t>
  </si>
  <si>
    <t>NINTH SCHEDULE</t>
  </si>
  <si>
    <t>10</t>
  </si>
  <si>
    <t>178 - CNG Sales</t>
  </si>
  <si>
    <t>Packs</t>
  </si>
  <si>
    <t>1.43%</t>
  </si>
  <si>
    <t>SECTION 49</t>
  </si>
  <si>
    <t>100</t>
  </si>
  <si>
    <t>181 - Toll Manufacturing</t>
  </si>
  <si>
    <t>Pair</t>
  </si>
  <si>
    <t>1.63%</t>
  </si>
  <si>
    <t>Section 4(b)</t>
  </si>
  <si>
    <t>100A</t>
  </si>
  <si>
    <t>138 - Non-Adjustable Supplies</t>
  </si>
  <si>
    <t>Pcs</t>
  </si>
  <si>
    <t>2.5%</t>
  </si>
  <si>
    <t>100A((i))</t>
  </si>
  <si>
    <t>139 - Goods as per SRO.297(|)/2023</t>
  </si>
  <si>
    <t>Pound</t>
  </si>
  <si>
    <t>2.70%</t>
  </si>
  <si>
    <t>100A((ii))</t>
  </si>
  <si>
    <t>SET</t>
  </si>
  <si>
    <t>2.74%</t>
  </si>
  <si>
    <t>100A((iii))</t>
  </si>
  <si>
    <t>SqY</t>
  </si>
  <si>
    <t>3.67%</t>
  </si>
  <si>
    <t>100B</t>
  </si>
  <si>
    <t>Square Foot</t>
  </si>
  <si>
    <t>4.77%</t>
  </si>
  <si>
    <t>100B((i))</t>
  </si>
  <si>
    <t>Square Metre</t>
  </si>
  <si>
    <t>5.44%</t>
  </si>
  <si>
    <t>100B((ii))</t>
  </si>
  <si>
    <t>Thousand Unit</t>
  </si>
  <si>
    <t>6.70%</t>
  </si>
  <si>
    <t>100B((iii))</t>
  </si>
  <si>
    <t>Timber Logs</t>
  </si>
  <si>
    <t>6.75%</t>
  </si>
  <si>
    <t>100B((iv))</t>
  </si>
  <si>
    <t>6.84%</t>
  </si>
  <si>
    <t>100B((v))</t>
  </si>
  <si>
    <t>7.20%</t>
  </si>
  <si>
    <t>100B((vi))</t>
  </si>
  <si>
    <t>7.37%</t>
  </si>
  <si>
    <t>100C</t>
  </si>
  <si>
    <t>7.56%</t>
  </si>
  <si>
    <t>101</t>
  </si>
  <si>
    <t>8.19%</t>
  </si>
  <si>
    <t>102</t>
  </si>
  <si>
    <t>8.30%</t>
  </si>
  <si>
    <t>103</t>
  </si>
  <si>
    <t>9.08%</t>
  </si>
  <si>
    <t>104</t>
  </si>
  <si>
    <t>9.15%</t>
  </si>
  <si>
    <t>104(a)</t>
  </si>
  <si>
    <t>10.07%</t>
  </si>
  <si>
    <t>104(b)</t>
  </si>
  <si>
    <t>10.32%</t>
  </si>
  <si>
    <t>104(c)</t>
  </si>
  <si>
    <t>10.54%</t>
  </si>
  <si>
    <t>104(d)</t>
  </si>
  <si>
    <t>10.77%</t>
  </si>
  <si>
    <t>104(e)</t>
  </si>
  <si>
    <t>11.64%</t>
  </si>
  <si>
    <t>104(f)</t>
  </si>
  <si>
    <t>15.44%</t>
  </si>
  <si>
    <t>104(g)</t>
  </si>
  <si>
    <t>16.40%</t>
  </si>
  <si>
    <t>104(h)</t>
  </si>
  <si>
    <t>Rs.250</t>
  </si>
  <si>
    <t>105</t>
  </si>
  <si>
    <t>Rs.10</t>
  </si>
  <si>
    <t>106</t>
  </si>
  <si>
    <t>25%</t>
  </si>
  <si>
    <t>107</t>
  </si>
  <si>
    <t>Rs.130</t>
  </si>
  <si>
    <t>108</t>
  </si>
  <si>
    <t>Rs.200</t>
  </si>
  <si>
    <t>108(a)</t>
  </si>
  <si>
    <t>Rs.1680</t>
  </si>
  <si>
    <t>108(b)</t>
  </si>
  <si>
    <t>Rs.1740</t>
  </si>
  <si>
    <t>108(c)</t>
  </si>
  <si>
    <t>Rs.5400</t>
  </si>
  <si>
    <t>108(d)</t>
  </si>
  <si>
    <t>Rs.9270</t>
  </si>
  <si>
    <t>108(e)</t>
  </si>
  <si>
    <t>16%</t>
  </si>
  <si>
    <t>108(f)</t>
  </si>
  <si>
    <t>19.5%</t>
  </si>
  <si>
    <t>108(g)</t>
  </si>
  <si>
    <t>200/bill</t>
  </si>
  <si>
    <t>108(h)</t>
  </si>
  <si>
    <t>Exempt</t>
  </si>
  <si>
    <t>108(i)</t>
  </si>
  <si>
    <t>18.5%</t>
  </si>
  <si>
    <t>108(j)</t>
  </si>
  <si>
    <t>50/SqY</t>
  </si>
  <si>
    <t>108(k)</t>
  </si>
  <si>
    <t>100/SqY</t>
  </si>
  <si>
    <t>109</t>
  </si>
  <si>
    <t>Rs.1000</t>
  </si>
  <si>
    <t>11</t>
  </si>
  <si>
    <t>DTRE</t>
  </si>
  <si>
    <t>11(a)</t>
  </si>
  <si>
    <t>Rs.2</t>
  </si>
  <si>
    <t>11(b)</t>
  </si>
  <si>
    <t>Rs.3</t>
  </si>
  <si>
    <t>11(i)</t>
  </si>
  <si>
    <t>Rs.5</t>
  </si>
  <si>
    <t>11(ii)</t>
  </si>
  <si>
    <t>18% along with rupees 60 per kilogram</t>
  </si>
  <si>
    <t>11(iii)</t>
  </si>
  <si>
    <t>11(iv)</t>
  </si>
  <si>
    <t>11(v)</t>
  </si>
  <si>
    <t>11(vi)</t>
  </si>
  <si>
    <t>11(vii)</t>
  </si>
  <si>
    <t>11(viii)</t>
  </si>
  <si>
    <t>110</t>
  </si>
  <si>
    <t>110(a)</t>
  </si>
  <si>
    <t>110(b)</t>
  </si>
  <si>
    <t>110(c)</t>
  </si>
  <si>
    <t>110(d)</t>
  </si>
  <si>
    <t>110(e)</t>
  </si>
  <si>
    <t>110(f)</t>
  </si>
  <si>
    <t>110(g)</t>
  </si>
  <si>
    <t>110(h)</t>
  </si>
  <si>
    <t>110(i)</t>
  </si>
  <si>
    <t>110(j)</t>
  </si>
  <si>
    <t>111</t>
  </si>
  <si>
    <t>112</t>
  </si>
  <si>
    <t>112A</t>
  </si>
  <si>
    <t>112A(i)</t>
  </si>
  <si>
    <t>112A(ii)</t>
  </si>
  <si>
    <t>112A(iii)</t>
  </si>
  <si>
    <t>112A(iv)</t>
  </si>
  <si>
    <t>112A(ix)</t>
  </si>
  <si>
    <t>112A(v)</t>
  </si>
  <si>
    <t>112A(vi)</t>
  </si>
  <si>
    <t>112A(vii)</t>
  </si>
  <si>
    <t>112A(viii)</t>
  </si>
  <si>
    <t>112A(x)</t>
  </si>
  <si>
    <t>112A(xi)</t>
  </si>
  <si>
    <t>112A(xii)</t>
  </si>
  <si>
    <t/>
  </si>
  <si>
    <t>112A(xiii)</t>
  </si>
  <si>
    <t>112A(xiv)</t>
  </si>
  <si>
    <t>INSTRUCTIONS:</t>
  </si>
  <si>
    <t>112A(xix)</t>
  </si>
  <si>
    <t>1. This Excel template includes automatic calculations and dropdown validations.</t>
  </si>
  <si>
    <t>112A(xv)</t>
  </si>
  <si>
    <t>2. Fill in the required fields: Invoice Type, Invoice Date, Company Invoice Ref No, Buyer NTN/CNIC.</t>
  </si>
  <si>
    <t>112A(xvi)</t>
  </si>
  <si>
    <t>3. Select Transaction Type from the dropdown list - Sales Type will auto-populate.</t>
  </si>
  <si>
    <t>112A(xvii)</t>
  </si>
  <si>
    <t>4. Enter Product Name, HS Code, Quantity, and Value Sales (Excl. ST).</t>
  </si>
  <si>
    <t>112A(xviii)</t>
  </si>
  <si>
    <t>5. Select Rate, SRO Schedule No, SRO Item No, and UoM from dropdown lists.</t>
  </si>
  <si>
    <t>112A(xx)</t>
  </si>
  <si>
    <t>6. Unit Price auto-calculates as Value Sales (Excl. ST) ÷ Quantity.</t>
  </si>
  <si>
    <t>112A(xxi)</t>
  </si>
  <si>
    <t>7. Sales Tax Applicable auto-calculates: Value Sales (Excl. ST) × (Rate ÷ 100).</t>
  </si>
  <si>
    <t>112A(xxii)</t>
  </si>
  <si>
    <t>8. Total Values auto-calculates: (Value Excl. ST + Sales Tax + FED + ST W/H + Further Tax + Extra Tax) minus Discount.</t>
  </si>
  <si>
    <t>112A(xxiii)</t>
  </si>
  <si>
    <t>9. Extra Tax, Further Tax, FED Payable, and Discount are optional fields.</t>
  </si>
  <si>
    <t>112A(xxiv)</t>
  </si>
  <si>
    <t>10. All dropdown lists contain values from the FBR API system.</t>
  </si>
  <si>
    <t>112A(xxv)</t>
  </si>
  <si>
    <t>11. For best results, save the file as .xlsx format before uploading.</t>
  </si>
  <si>
    <t>112B</t>
  </si>
  <si>
    <t>112B(i)</t>
  </si>
  <si>
    <t>112B(ii)</t>
  </si>
  <si>
    <t>112B(iii)</t>
  </si>
  <si>
    <t>112B(iv)</t>
  </si>
  <si>
    <t>112B(v)</t>
  </si>
  <si>
    <t>112B(vi)</t>
  </si>
  <si>
    <t>112B(vii)</t>
  </si>
  <si>
    <t>112C</t>
  </si>
  <si>
    <t>112C(i)</t>
  </si>
  <si>
    <t>112C(ii)</t>
  </si>
  <si>
    <t>112C(iii)</t>
  </si>
  <si>
    <t>112C(iv)</t>
  </si>
  <si>
    <t>112C(ix)</t>
  </si>
  <si>
    <t>112C(v)</t>
  </si>
  <si>
    <t>112C(vi)</t>
  </si>
  <si>
    <t>112C(vii)</t>
  </si>
  <si>
    <t>112C(viii)</t>
  </si>
  <si>
    <t>112C(x)</t>
  </si>
  <si>
    <t>112D</t>
  </si>
  <si>
    <t>112E</t>
  </si>
  <si>
    <t>112F</t>
  </si>
  <si>
    <t>112G</t>
  </si>
  <si>
    <t>112H</t>
  </si>
  <si>
    <t>112H(i)</t>
  </si>
  <si>
    <t>112H(ii)</t>
  </si>
  <si>
    <t>112H(iii)</t>
  </si>
  <si>
    <t>112H(iv)</t>
  </si>
  <si>
    <t>112H(ix)</t>
  </si>
  <si>
    <t>112H(v)</t>
  </si>
  <si>
    <t>112H(vi)</t>
  </si>
  <si>
    <t>112H(vii)</t>
  </si>
  <si>
    <t>112H(viii)</t>
  </si>
  <si>
    <t>112H(x)</t>
  </si>
  <si>
    <t>112H(xi)</t>
  </si>
  <si>
    <t>112I</t>
  </si>
  <si>
    <t>112I(i)</t>
  </si>
  <si>
    <t>112J</t>
  </si>
  <si>
    <t>112J(i)</t>
  </si>
  <si>
    <t>112J(ii)</t>
  </si>
  <si>
    <t>112J(iii)</t>
  </si>
  <si>
    <t>112J(iv)</t>
  </si>
  <si>
    <t>112J(ix)</t>
  </si>
  <si>
    <t>112J(v)</t>
  </si>
  <si>
    <t>112J(vi)</t>
  </si>
  <si>
    <t>112J(vii)</t>
  </si>
  <si>
    <t>112J(viii)</t>
  </si>
  <si>
    <t>112J(viii)(a)</t>
  </si>
  <si>
    <t>112J(viii)(b)</t>
  </si>
  <si>
    <t>112J(viii)(c)</t>
  </si>
  <si>
    <t>112J(x)</t>
  </si>
  <si>
    <t>112J(xi)</t>
  </si>
  <si>
    <t>112J(xii)</t>
  </si>
  <si>
    <t>112K</t>
  </si>
  <si>
    <t>112K(i)</t>
  </si>
  <si>
    <t>112K(ii)</t>
  </si>
  <si>
    <t>112K(iii)</t>
  </si>
  <si>
    <t>112K(iv)</t>
  </si>
  <si>
    <t>112K(ix)</t>
  </si>
  <si>
    <t>112K(v)</t>
  </si>
  <si>
    <t>112K(vi)</t>
  </si>
  <si>
    <t>112K(vii)</t>
  </si>
  <si>
    <t>112K(viii)</t>
  </si>
  <si>
    <t>112K(x)</t>
  </si>
  <si>
    <t>112K(xi)</t>
  </si>
  <si>
    <t>112K(xii)</t>
  </si>
  <si>
    <t>112K(xiii)</t>
  </si>
  <si>
    <t>112K(xiv)</t>
  </si>
  <si>
    <t>112K(xv)</t>
  </si>
  <si>
    <t>112K(xvi)</t>
  </si>
  <si>
    <t>112K(xvii)</t>
  </si>
  <si>
    <t>112K(xviii)</t>
  </si>
  <si>
    <t>112L</t>
  </si>
  <si>
    <t>113</t>
  </si>
  <si>
    <t>113(i)</t>
  </si>
  <si>
    <t>113(ii)</t>
  </si>
  <si>
    <t>113(iii)</t>
  </si>
  <si>
    <t>114</t>
  </si>
  <si>
    <t>114(i)</t>
  </si>
  <si>
    <t>114(ii)</t>
  </si>
  <si>
    <t>115</t>
  </si>
  <si>
    <t>116</t>
  </si>
  <si>
    <t>117</t>
  </si>
  <si>
    <t>118</t>
  </si>
  <si>
    <t>119</t>
  </si>
  <si>
    <t>12</t>
  </si>
  <si>
    <t>12(xix)</t>
  </si>
  <si>
    <t>12(xvii)</t>
  </si>
  <si>
    <t>12(xx)</t>
  </si>
  <si>
    <t>12(xxi)</t>
  </si>
  <si>
    <t>12(xxii)</t>
  </si>
  <si>
    <t>12(xxiii)</t>
  </si>
  <si>
    <t>12(xxiv)</t>
  </si>
  <si>
    <t>12(xxv)</t>
  </si>
  <si>
    <t>12(xxvi)</t>
  </si>
  <si>
    <t>12(xxvii)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</si>
  <si>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</si>
  <si>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</si>
  <si>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</si>
  <si>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</si>
  <si>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</si>
  <si>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</si>
  <si>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</si>
  <si>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</si>
  <si>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</si>
  <si>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</si>
  <si>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</si>
  <si>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</si>
  <si>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</si>
  <si>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</si>
  <si>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</si>
  <si>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</si>
  <si>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</si>
  <si>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</si>
  <si>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</si>
  <si>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</si>
  <si>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</si>
  <si>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</si>
  <si>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14(1)</t>
  </si>
  <si>
    <t>14(1)(i)</t>
  </si>
  <si>
    <t>14(1)(ii)</t>
  </si>
  <si>
    <t>14(1)(iii)</t>
  </si>
  <si>
    <t>14(1)(iv)</t>
  </si>
  <si>
    <t>14(1)(v)</t>
  </si>
  <si>
    <t>14(1)(vi)</t>
  </si>
  <si>
    <t>14(2)</t>
  </si>
  <si>
    <t>140</t>
  </si>
  <si>
    <t>141</t>
  </si>
  <si>
    <t>142</t>
  </si>
  <si>
    <t>143</t>
  </si>
  <si>
    <t>143(i)</t>
  </si>
  <si>
    <t>143(i)(a)</t>
  </si>
  <si>
    <t>143(i)(b)</t>
  </si>
  <si>
    <t>143(i)(c)</t>
  </si>
  <si>
    <t>143(i)(d)</t>
  </si>
  <si>
    <t>144</t>
  </si>
  <si>
    <t>145</t>
  </si>
  <si>
    <t>145(i)</t>
  </si>
  <si>
    <t>145(ii)</t>
  </si>
  <si>
    <t>145(iii)</t>
  </si>
  <si>
    <t>145(iv)</t>
  </si>
  <si>
    <t>145(ix)</t>
  </si>
  <si>
    <t>145(v)</t>
  </si>
  <si>
    <t>145(vi)</t>
  </si>
  <si>
    <t>145(vii)</t>
  </si>
  <si>
    <t>145(viii)</t>
  </si>
  <si>
    <t>145(x)</t>
  </si>
  <si>
    <t>146</t>
  </si>
  <si>
    <t>146(a)</t>
  </si>
  <si>
    <t>146(b)</t>
  </si>
  <si>
    <t>146(c)</t>
  </si>
  <si>
    <t>146(d)</t>
  </si>
  <si>
    <t>146(e)</t>
  </si>
  <si>
    <t>146(f)</t>
  </si>
  <si>
    <t>146(g)</t>
  </si>
  <si>
    <t>146(h)</t>
  </si>
  <si>
    <t>146(i)</t>
  </si>
  <si>
    <t>146(j)</t>
  </si>
  <si>
    <t>147</t>
  </si>
  <si>
    <t>148</t>
  </si>
  <si>
    <t>149</t>
  </si>
  <si>
    <t>14A</t>
  </si>
  <si>
    <t>14A(10)</t>
  </si>
  <si>
    <t>14A(11)</t>
  </si>
  <si>
    <t>14A(12)</t>
  </si>
  <si>
    <t>14A(12a)</t>
  </si>
  <si>
    <t>14A(12b)</t>
  </si>
  <si>
    <t>14A(12b)(i)</t>
  </si>
  <si>
    <t>14A(12b)(ii)</t>
  </si>
  <si>
    <t>14A(12b)(iii)</t>
  </si>
  <si>
    <t>14A(12b)(iv)</t>
  </si>
  <si>
    <t>14A(12b)(v)</t>
  </si>
  <si>
    <t>14A(12b)(vi)</t>
  </si>
  <si>
    <t>14A(13)</t>
  </si>
  <si>
    <t>14A(14)</t>
  </si>
  <si>
    <t>14A(14)(i)</t>
  </si>
  <si>
    <t>14A(14)(ii)</t>
  </si>
  <si>
    <t>14A(14)(iii)</t>
  </si>
  <si>
    <t>14A(14)(iv)</t>
  </si>
  <si>
    <t>14A(14)(ix)</t>
  </si>
  <si>
    <t>14A(14)(v)</t>
  </si>
  <si>
    <t>14A(14)(vi)</t>
  </si>
  <si>
    <t>14A(14)(vii)</t>
  </si>
  <si>
    <t>14A(14)(viii)</t>
  </si>
  <si>
    <t>14A(14)(x)</t>
  </si>
  <si>
    <t>14A(1a)</t>
  </si>
  <si>
    <t>14A(1b)</t>
  </si>
  <si>
    <t>14A(1b)(i)</t>
  </si>
  <si>
    <t>14A(1b)(ii)</t>
  </si>
  <si>
    <t>14A(1b)(iii)</t>
  </si>
  <si>
    <t>14A(1b)(iv)</t>
  </si>
  <si>
    <t>14A(1b)(v)</t>
  </si>
  <si>
    <t>14A(1b)(vi)</t>
  </si>
  <si>
    <t>14A(2a)</t>
  </si>
  <si>
    <t>14A(2b)</t>
  </si>
  <si>
    <t>14A(2b)(i)</t>
  </si>
  <si>
    <t>14A(2b)(ii)</t>
  </si>
  <si>
    <t>14A(2b)(iii)</t>
  </si>
  <si>
    <t>14A(2b)(iv)</t>
  </si>
  <si>
    <t>14A(2b)(v)</t>
  </si>
  <si>
    <t>14A(3a)</t>
  </si>
  <si>
    <t>14A(3b)</t>
  </si>
  <si>
    <t>14A(3b)(i)</t>
  </si>
  <si>
    <t>14A(3b)(ii)</t>
  </si>
  <si>
    <t>14A(3b)(iii)</t>
  </si>
  <si>
    <t>14A(3b)(iv)</t>
  </si>
  <si>
    <t>14A(3b)(v)</t>
  </si>
  <si>
    <t>14A(3b)(vi)</t>
  </si>
  <si>
    <t>14A(4a)</t>
  </si>
  <si>
    <t>14A(4b)</t>
  </si>
  <si>
    <t>14A(4b)(i)</t>
  </si>
  <si>
    <t>14A(4b)(ii)</t>
  </si>
  <si>
    <t>14A(4b)(iii)</t>
  </si>
  <si>
    <t>14A(4b)(iv)</t>
  </si>
  <si>
    <t>14A(4b)(v)</t>
  </si>
  <si>
    <t>14A(5)</t>
  </si>
  <si>
    <t>14A(6a)</t>
  </si>
  <si>
    <t>14A(6b)</t>
  </si>
  <si>
    <t>14A(6b)(i)</t>
  </si>
  <si>
    <t>14A(6b)(ii)</t>
  </si>
  <si>
    <t>14A(6b)(iii)</t>
  </si>
  <si>
    <t>14A(6b)(iv)</t>
  </si>
  <si>
    <t>14A(6c)</t>
  </si>
  <si>
    <t>14A(6c)(i)</t>
  </si>
  <si>
    <t>14A(6c)(ii)</t>
  </si>
  <si>
    <t>14A(6c)(iii)</t>
  </si>
  <si>
    <t>14A(6c)(iv)</t>
  </si>
  <si>
    <t>14A(6c)(v)</t>
  </si>
  <si>
    <t>14A(6c)(vi)</t>
  </si>
  <si>
    <t>14A(7a)</t>
  </si>
  <si>
    <t>14A(7b)</t>
  </si>
  <si>
    <t>14A(7b)(i)</t>
  </si>
  <si>
    <t>14A(7b)(ii)</t>
  </si>
  <si>
    <t>14A(7b)(iii)</t>
  </si>
  <si>
    <t>14A(7b)(iv)</t>
  </si>
  <si>
    <t>14A(7b)(ix)</t>
  </si>
  <si>
    <t>14A(7b)(v)</t>
  </si>
  <si>
    <t>14A(7b)(vi)</t>
  </si>
  <si>
    <t>14A(7b)(vii)</t>
  </si>
  <si>
    <t>14A(7b)(viii)</t>
  </si>
  <si>
    <t>14A(7b)(x)</t>
  </si>
  <si>
    <t>14A(7b)(xi)</t>
  </si>
  <si>
    <t>14A(8)</t>
  </si>
  <si>
    <t>14A(8)(i)</t>
  </si>
  <si>
    <t>14A(8)(ii)</t>
  </si>
  <si>
    <t>14A(8)(iii)</t>
  </si>
  <si>
    <t>14A(8)(iv)</t>
  </si>
  <si>
    <t>14A(8)(v)</t>
  </si>
  <si>
    <t>14A(8)(vi)</t>
  </si>
  <si>
    <t>14A(8)(vii)</t>
  </si>
  <si>
    <t>14A(8)(viii)</t>
  </si>
  <si>
    <t>14A(9)</t>
  </si>
  <si>
    <t>15</t>
  </si>
  <si>
    <t>15(a)</t>
  </si>
  <si>
    <t>15(b)</t>
  </si>
  <si>
    <t>15(c.)</t>
  </si>
  <si>
    <t>15(i)</t>
  </si>
  <si>
    <t>15(ii)</t>
  </si>
  <si>
    <t>15(iii)</t>
  </si>
  <si>
    <t>15(iv)</t>
  </si>
  <si>
    <t>15(ix)</t>
  </si>
  <si>
    <t>15(v)</t>
  </si>
  <si>
    <t>15(vi)</t>
  </si>
  <si>
    <t>15(vii)</t>
  </si>
  <si>
    <t>15(viii)</t>
  </si>
  <si>
    <t>15(x)</t>
  </si>
  <si>
    <t>15(xi)</t>
  </si>
  <si>
    <t>15(xii)</t>
  </si>
  <si>
    <t>15(xiii)</t>
  </si>
  <si>
    <t>15(xiv)</t>
  </si>
  <si>
    <t>15(xv)</t>
  </si>
  <si>
    <t>15(xvi)</t>
  </si>
  <si>
    <t>150</t>
  </si>
  <si>
    <t>150(a)</t>
  </si>
  <si>
    <t>150(b)</t>
  </si>
  <si>
    <t>151(a)</t>
  </si>
  <si>
    <t>151(b)</t>
  </si>
  <si>
    <t>152</t>
  </si>
  <si>
    <t>153</t>
  </si>
  <si>
    <t>154</t>
  </si>
  <si>
    <t>155</t>
  </si>
  <si>
    <t>156</t>
  </si>
  <si>
    <t>159</t>
  </si>
  <si>
    <t>15A(i)</t>
  </si>
  <si>
    <t>15A(ii)</t>
  </si>
  <si>
    <t>15A(iii)</t>
  </si>
  <si>
    <t>15A(iv)</t>
  </si>
  <si>
    <t>16</t>
  </si>
  <si>
    <t>160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</si>
  <si>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</si>
  <si>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</si>
  <si>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</si>
  <si>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</si>
  <si>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</si>
  <si>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</si>
  <si>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</si>
  <si>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</si>
  <si>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</si>
  <si>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</si>
  <si>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</si>
  <si>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</si>
  <si>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</si>
  <si>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</si>
  <si>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</si>
  <si>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176(i)</t>
  </si>
  <si>
    <t>176(ii)</t>
  </si>
  <si>
    <t>176(iii)</t>
  </si>
  <si>
    <t>176(iv)</t>
  </si>
  <si>
    <t>177</t>
  </si>
  <si>
    <t>178</t>
  </si>
  <si>
    <t>179</t>
  </si>
  <si>
    <t>18</t>
  </si>
  <si>
    <t>18(i)</t>
  </si>
  <si>
    <t>18(ii)</t>
  </si>
  <si>
    <t>18(iii)</t>
  </si>
  <si>
    <t>18(iv)</t>
  </si>
  <si>
    <t>18(ix)</t>
  </si>
  <si>
    <t>18(v)</t>
  </si>
  <si>
    <t>18(vi)</t>
  </si>
  <si>
    <t>18(vii)</t>
  </si>
  <si>
    <t>18(viii)</t>
  </si>
  <si>
    <t>18(x)</t>
  </si>
  <si>
    <t>18(xi)</t>
  </si>
  <si>
    <t>18(xii)</t>
  </si>
  <si>
    <t>18(xiii)</t>
  </si>
  <si>
    <t>18(xiv)</t>
  </si>
  <si>
    <t>18(xix)</t>
  </si>
  <si>
    <t>18(xv)</t>
  </si>
  <si>
    <t>18(xvi)</t>
  </si>
  <si>
    <t>18(xvii)</t>
  </si>
  <si>
    <t>18(xviii)</t>
  </si>
  <si>
    <t>18(xx)</t>
  </si>
  <si>
    <t>18(xxi)</t>
  </si>
  <si>
    <t>180</t>
  </si>
  <si>
    <t>181</t>
  </si>
  <si>
    <t>19</t>
  </si>
  <si>
    <t>2</t>
  </si>
  <si>
    <t>2(i)</t>
  </si>
  <si>
    <t>2(ii)</t>
  </si>
  <si>
    <t>2(ii)(a)</t>
  </si>
  <si>
    <t>2(ii)(b)</t>
  </si>
  <si>
    <t>2(iii)</t>
  </si>
  <si>
    <t>20</t>
  </si>
  <si>
    <t>21</t>
  </si>
  <si>
    <t>22</t>
  </si>
  <si>
    <t>23</t>
  </si>
  <si>
    <t>24</t>
  </si>
  <si>
    <t>25</t>
  </si>
  <si>
    <t>26</t>
  </si>
  <si>
    <t>26(i)</t>
  </si>
  <si>
    <t>26(ii)</t>
  </si>
  <si>
    <t>26(iii)</t>
  </si>
  <si>
    <t>26(iv)</t>
  </si>
  <si>
    <t>26(ix)</t>
  </si>
  <si>
    <t>26(v)</t>
  </si>
  <si>
    <t>26(vi)</t>
  </si>
  <si>
    <t>26(vii)</t>
  </si>
  <si>
    <t>26(viii)</t>
  </si>
  <si>
    <t>26(x)</t>
  </si>
  <si>
    <t>26(xi)</t>
  </si>
  <si>
    <t>26(xii)</t>
  </si>
  <si>
    <t>26(xiii)</t>
  </si>
  <si>
    <t>26(xiv)</t>
  </si>
  <si>
    <t>26(xix)</t>
  </si>
  <si>
    <t>26(xv)</t>
  </si>
  <si>
    <t>26(xvi)</t>
  </si>
  <si>
    <t>26(xvii)</t>
  </si>
  <si>
    <t>26(xviii)</t>
  </si>
  <si>
    <t>27</t>
  </si>
  <si>
    <t>27(i)</t>
  </si>
  <si>
    <t>27(ii)</t>
  </si>
  <si>
    <t>27(iii)</t>
  </si>
  <si>
    <t>27(iv)</t>
  </si>
  <si>
    <t>27(v)</t>
  </si>
  <si>
    <t>27(vi)</t>
  </si>
  <si>
    <t>27(vii)</t>
  </si>
  <si>
    <t>28</t>
  </si>
  <si>
    <t>28(i)</t>
  </si>
  <si>
    <t>28(ii)</t>
  </si>
  <si>
    <t>28(iii)</t>
  </si>
  <si>
    <t>28(iv)</t>
  </si>
  <si>
    <t>28(v)</t>
  </si>
  <si>
    <t>28(vi)</t>
  </si>
  <si>
    <t>29</t>
  </si>
  <si>
    <t>29(i)</t>
  </si>
  <si>
    <t>29(ii)</t>
  </si>
  <si>
    <t>29(iii)</t>
  </si>
  <si>
    <t>29(iv)</t>
  </si>
  <si>
    <t>29(ix)</t>
  </si>
  <si>
    <t>29(v)</t>
  </si>
  <si>
    <t>29(vi)</t>
  </si>
  <si>
    <t>29(vii)</t>
  </si>
  <si>
    <t>29(viii)</t>
  </si>
  <si>
    <t>29(x)</t>
  </si>
  <si>
    <t>29(xi)</t>
  </si>
  <si>
    <t>29(xii)</t>
  </si>
  <si>
    <t>29(xiii)</t>
  </si>
  <si>
    <t>29(xiv)</t>
  </si>
  <si>
    <t>29(xv)</t>
  </si>
  <si>
    <t>29(xvi)</t>
  </si>
  <si>
    <t>29(xvii)</t>
  </si>
  <si>
    <t>29(xviii)</t>
  </si>
  <si>
    <t>29C</t>
  </si>
  <si>
    <t>2A</t>
  </si>
  <si>
    <t>2A(i)</t>
  </si>
  <si>
    <t>2A(ii)</t>
  </si>
  <si>
    <t>2A(iii)</t>
  </si>
  <si>
    <t>2A(iv)</t>
  </si>
  <si>
    <t>2A(ix)</t>
  </si>
  <si>
    <t>2A(v)</t>
  </si>
  <si>
    <t>2A(vi)</t>
  </si>
  <si>
    <t>2A(vii)</t>
  </si>
  <si>
    <t>2A(viii)</t>
  </si>
  <si>
    <t>2B</t>
  </si>
  <si>
    <t>2B(i)</t>
  </si>
  <si>
    <t>2B(ii)</t>
  </si>
  <si>
    <t>2B(iii)</t>
  </si>
  <si>
    <t>2C</t>
  </si>
  <si>
    <t>2C(i)</t>
  </si>
  <si>
    <t>2C(ii)</t>
  </si>
  <si>
    <t>2D</t>
  </si>
  <si>
    <t>2D(i)</t>
  </si>
  <si>
    <t>2D(ii)</t>
  </si>
  <si>
    <t>2E</t>
  </si>
  <si>
    <t>2F</t>
  </si>
  <si>
    <t>3</t>
  </si>
  <si>
    <t>3(1A)</t>
  </si>
  <si>
    <t>3(i)</t>
  </si>
  <si>
    <t>3(ii)</t>
  </si>
  <si>
    <t>30</t>
  </si>
  <si>
    <t>30(i)</t>
  </si>
  <si>
    <t>30(ii)</t>
  </si>
  <si>
    <t>31</t>
  </si>
  <si>
    <t>32</t>
  </si>
  <si>
    <t>33</t>
  </si>
  <si>
    <t>34</t>
  </si>
  <si>
    <t>34(1)</t>
  </si>
  <si>
    <t>34(2)</t>
  </si>
  <si>
    <t>34(3)</t>
  </si>
  <si>
    <t>34(4)</t>
  </si>
  <si>
    <t>35</t>
  </si>
  <si>
    <t>36</t>
  </si>
  <si>
    <t>37</t>
  </si>
  <si>
    <t>38</t>
  </si>
  <si>
    <t>39</t>
  </si>
  <si>
    <t>4</t>
  </si>
  <si>
    <t>4(1)</t>
  </si>
  <si>
    <t>4(2)</t>
  </si>
  <si>
    <t>40</t>
  </si>
  <si>
    <t>41</t>
  </si>
  <si>
    <t>42</t>
  </si>
  <si>
    <t>43</t>
  </si>
  <si>
    <t>44</t>
  </si>
  <si>
    <t>45</t>
  </si>
  <si>
    <t>45(i)</t>
  </si>
  <si>
    <t>45(ii)</t>
  </si>
  <si>
    <t>45(iii)</t>
  </si>
  <si>
    <t>45(iv)</t>
  </si>
  <si>
    <t>45v</t>
  </si>
  <si>
    <t>45vi</t>
  </si>
  <si>
    <t>46</t>
  </si>
  <si>
    <t>47</t>
  </si>
  <si>
    <t>48</t>
  </si>
  <si>
    <t>49</t>
  </si>
  <si>
    <t>5</t>
  </si>
  <si>
    <t>5(i)</t>
  </si>
  <si>
    <t>5(ii)</t>
  </si>
  <si>
    <t>50</t>
  </si>
  <si>
    <t>51</t>
  </si>
  <si>
    <t>52</t>
  </si>
  <si>
    <t>52A</t>
  </si>
  <si>
    <t>53</t>
  </si>
  <si>
    <t>53(i)</t>
  </si>
  <si>
    <t>53(ii)</t>
  </si>
  <si>
    <t>53(iii)</t>
  </si>
  <si>
    <t>53(iv)</t>
  </si>
  <si>
    <t>53(ix)</t>
  </si>
  <si>
    <t>53(v)</t>
  </si>
  <si>
    <t>53(vi)</t>
  </si>
  <si>
    <t>53(vii)</t>
  </si>
  <si>
    <t>53(viii)</t>
  </si>
  <si>
    <t>53(x)</t>
  </si>
  <si>
    <t>53(xi)</t>
  </si>
  <si>
    <t>53(xii)</t>
  </si>
  <si>
    <t>53(xiii)</t>
  </si>
  <si>
    <t>53(xiv)</t>
  </si>
  <si>
    <t>53(xix)</t>
  </si>
  <si>
    <t>53(xv)</t>
  </si>
  <si>
    <t>53(xvi)</t>
  </si>
  <si>
    <t>53(xvii)</t>
  </si>
  <si>
    <t>53(xviii)</t>
  </si>
  <si>
    <t>54</t>
  </si>
  <si>
    <t>55</t>
  </si>
  <si>
    <t>56</t>
  </si>
  <si>
    <t>56(i)</t>
  </si>
  <si>
    <t>56(ii)</t>
  </si>
  <si>
    <t>57</t>
  </si>
  <si>
    <t>58</t>
  </si>
  <si>
    <t>59</t>
  </si>
  <si>
    <t>6</t>
  </si>
  <si>
    <t>6(A)</t>
  </si>
  <si>
    <t>6(A)(i)</t>
  </si>
  <si>
    <t>6(A)(ii)</t>
  </si>
  <si>
    <t>6(A)(iii)</t>
  </si>
  <si>
    <t>6(A)(iv)</t>
  </si>
  <si>
    <t>6(A)(ix)</t>
  </si>
  <si>
    <t>6(A)(v)</t>
  </si>
  <si>
    <t>6(A)(vi)</t>
  </si>
  <si>
    <t>6(A)(vii)</t>
  </si>
  <si>
    <t>6(A)(viii)</t>
  </si>
  <si>
    <t>6(A)(x)</t>
  </si>
  <si>
    <t>6(i)</t>
  </si>
  <si>
    <t>6(ii)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</si>
  <si>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</si>
  <si>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</si>
  <si>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</si>
  <si>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</si>
  <si>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</si>
  <si>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</si>
  <si>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</si>
  <si>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</si>
  <si>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</si>
  <si>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</si>
  <si>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</si>
  <si>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7(i)</t>
  </si>
  <si>
    <t>7(ii)</t>
  </si>
  <si>
    <t>70</t>
  </si>
  <si>
    <t>70(i)</t>
  </si>
  <si>
    <t>70(ii)</t>
  </si>
  <si>
    <t>70(iii)</t>
  </si>
  <si>
    <t>70(iv)</t>
  </si>
  <si>
    <t>70(v)</t>
  </si>
  <si>
    <t>70(vi)</t>
  </si>
  <si>
    <t>71</t>
  </si>
  <si>
    <t>72</t>
  </si>
  <si>
    <t>73</t>
  </si>
  <si>
    <t>73(a)</t>
  </si>
  <si>
    <t>73(b)</t>
  </si>
  <si>
    <t>73A</t>
  </si>
  <si>
    <t>74</t>
  </si>
  <si>
    <t>75</t>
  </si>
  <si>
    <t>76</t>
  </si>
  <si>
    <t>77</t>
  </si>
  <si>
    <t>78</t>
  </si>
  <si>
    <t>79</t>
  </si>
  <si>
    <t>8</t>
  </si>
  <si>
    <t>8(1)</t>
  </si>
  <si>
    <t>8(2)</t>
  </si>
  <si>
    <t>8(3)</t>
  </si>
  <si>
    <t>8(4)</t>
  </si>
  <si>
    <t>8(5)</t>
  </si>
  <si>
    <t>8(i)</t>
  </si>
  <si>
    <t>8(i)(a)</t>
  </si>
  <si>
    <t>8(i)(b)</t>
  </si>
  <si>
    <t>8(i)(c)</t>
  </si>
  <si>
    <t>8(ii)</t>
  </si>
  <si>
    <t>80</t>
  </si>
  <si>
    <t>81</t>
  </si>
  <si>
    <t>82</t>
  </si>
  <si>
    <t>83</t>
  </si>
  <si>
    <t>84</t>
  </si>
  <si>
    <t>84(i)</t>
  </si>
  <si>
    <t>84(ii)</t>
  </si>
  <si>
    <t>84(iii)</t>
  </si>
  <si>
    <t>84(iv)</t>
  </si>
  <si>
    <t>84(v)</t>
  </si>
  <si>
    <t>84(vi)</t>
  </si>
  <si>
    <t>84(vii)</t>
  </si>
  <si>
    <t>85</t>
  </si>
  <si>
    <t>86</t>
  </si>
  <si>
    <t>87</t>
  </si>
  <si>
    <t>88</t>
  </si>
  <si>
    <t>89</t>
  </si>
  <si>
    <t>8A</t>
  </si>
  <si>
    <t>9</t>
  </si>
  <si>
    <t>9(i)</t>
  </si>
  <si>
    <t>9(ii)</t>
  </si>
  <si>
    <t>9(iii)</t>
  </si>
  <si>
    <t>9(iv)</t>
  </si>
  <si>
    <t>9(ix)</t>
  </si>
  <si>
    <t>9(v)</t>
  </si>
  <si>
    <t>9(vi)</t>
  </si>
  <si>
    <t>9(vii)</t>
  </si>
  <si>
    <t>9(viii)</t>
  </si>
  <si>
    <t>9(x)</t>
  </si>
  <si>
    <t>9(xi)</t>
  </si>
  <si>
    <t>9(xii)</t>
  </si>
  <si>
    <t>9(xiii)</t>
  </si>
  <si>
    <t>9(xiv)</t>
  </si>
  <si>
    <t>9(xix)</t>
  </si>
  <si>
    <t>9(xv)</t>
  </si>
  <si>
    <t>9(xvi)</t>
  </si>
  <si>
    <t>9(xvii)</t>
  </si>
  <si>
    <t>9(xviii)</t>
  </si>
  <si>
    <t>9(xx)</t>
  </si>
  <si>
    <t>9(xxi)</t>
  </si>
  <si>
    <t>9(xxii)</t>
  </si>
  <si>
    <t>9(xxiii)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</si>
  <si>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</si>
  <si>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</si>
  <si>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</si>
  <si>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</si>
  <si>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</si>
  <si>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</si>
  <si>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</si>
  <si>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</si>
  <si>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</si>
  <si>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</si>
  <si>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Region-I</t>
  </si>
  <si>
    <t>Region-II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</si>
</sst>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" customWidth="1"/>
    <col min="3" max="3" width="19" style="1" customWidth="1"/>
    <col min="4" max="4" width="24" style="1" customWidth="1"/>
    <col min="5" max="5" width="16" style="1" customWidth="1"/>
    <col min="6" max="6" width="18" style="1" customWidth="1"/>
    <col min="7" max="7" width="14" style="1" customWidth="1"/>
    <col min="8" max="8" width="17" style="1" customWidth="1"/>
    <col min="9" max="10" width="14" style="1" customWidth="1"/>
    <col min="11" max="11" width="21" style="1" customWidth="1"/>
    <col min="12" max="12" width="14" customWidth="1"/>
    <col min="13" max="13" width="23" customWidth="1"/>
    <col min="14" max="15" width="14" customWidth="1"/>
    <col min="16" max="16" width="22" customWidth="1"/>
    <col min="17" max="17" width="23" customWidth="1"/>
    <col min="18" max="20" width="14" customWidth="1"/>
    <col min="21" max="21" width="20" customWidth="1"/>
    <col min="22" max="23" width="14" customWidth="1"/>
    <col min="24" max="30" width="9" hidden="1" customWidth="1"/>
  </cols>
  <sheetData>
    <row r="1" spans="1:30" s="2" customForma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30" x14ac:dyDescent="0.35">
      <c r="B2" s="6"/>
      <c r="J2" s="1" t="str">
        <f t="shared" ref="J2:J33" si="0">IF($F2="","",TRIM(MID($F2,FIND(" - ",$F2)+3,LEN($F2))))</f>
        <v/>
      </c>
      <c r="L2" s="1"/>
      <c r="O2" t="str">
        <f t="shared" ref="O2:O33" si="1">IF(OR($M2="",$N2=""),"",IFERROR($M2/$N2,0))</f>
        <v/>
      </c>
      <c r="P2" t="str">
        <f t="shared" ref="P2:P33" si="2">IF($M2="","",
IF($G2="","",
IF(ISNUMBER(SEARCH("exempt",LOWER($G2))),0,
$M2*(VALUE(SUBSTITUTE($G2,"%",""))/100))))</f>
        <v/>
      </c>
      <c r="W2" t="str">
        <f t="shared" ref="W2:W33" si="3">IF($M2="","",
SUM($M2,$P2,$T2,$Q2,$S2,$R2,$U2)-
IF($V2="",0,VALUE($V2)))</f>
        <v/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28</v>
      </c>
    </row>
    <row r="3" spans="1:30" x14ac:dyDescent="0.35">
      <c r="J3" s="1" t="str">
        <f t="shared" si="0"/>
        <v/>
      </c>
      <c r="O3" t="str">
        <f t="shared" si="1"/>
        <v/>
      </c>
      <c r="P3" t="str">
        <f t="shared" si="2"/>
        <v/>
      </c>
      <c r="W3" t="str">
        <f t="shared" si="3"/>
        <v/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</row>
    <row r="4" spans="1:30" x14ac:dyDescent="0.35">
      <c r="J4" s="1" t="str">
        <f t="shared" si="0"/>
        <v/>
      </c>
      <c r="O4" t="str">
        <f t="shared" si="1"/>
        <v/>
      </c>
      <c r="P4" t="str">
        <f t="shared" si="2"/>
        <v/>
      </c>
      <c r="W4" t="str">
        <f t="shared" si="3"/>
        <v/>
      </c>
      <c r="Y4" t="s">
        <v>36</v>
      </c>
      <c r="Z4" t="s">
        <v>37</v>
      </c>
      <c r="AA4" t="s">
        <v>38</v>
      </c>
      <c r="AB4" t="s">
        <v>39</v>
      </c>
      <c r="AC4" t="s">
        <v>40</v>
      </c>
      <c r="AD4" t="s">
        <v>41</v>
      </c>
    </row>
    <row r="5" spans="1:30" x14ac:dyDescent="0.35">
      <c r="J5" s="1" t="str">
        <f t="shared" si="0"/>
        <v/>
      </c>
      <c r="O5" t="str">
        <f t="shared" si="1"/>
        <v/>
      </c>
      <c r="P5" t="str">
        <f t="shared" si="2"/>
        <v/>
      </c>
      <c r="W5" t="str">
        <f t="shared" si="3"/>
        <v/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</row>
    <row r="6" spans="1:30" x14ac:dyDescent="0.35">
      <c r="J6" s="1" t="str">
        <f t="shared" si="0"/>
        <v/>
      </c>
      <c r="O6" t="str">
        <f t="shared" si="1"/>
        <v/>
      </c>
      <c r="P6" t="str">
        <f t="shared" si="2"/>
        <v/>
      </c>
      <c r="W6" t="str">
        <f t="shared" si="3"/>
        <v/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53</v>
      </c>
    </row>
    <row r="7" spans="1:30" x14ac:dyDescent="0.35">
      <c r="J7" s="1" t="str">
        <f t="shared" si="0"/>
        <v/>
      </c>
      <c r="O7" t="str">
        <f t="shared" si="1"/>
        <v/>
      </c>
      <c r="P7" t="str">
        <f t="shared" si="2"/>
        <v/>
      </c>
      <c r="W7" t="str">
        <f t="shared" si="3"/>
        <v/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  <c r="AD7" t="s">
        <v>59</v>
      </c>
    </row>
    <row r="8" spans="1:30" x14ac:dyDescent="0.35">
      <c r="J8" s="1" t="str">
        <f t="shared" si="0"/>
        <v/>
      </c>
      <c r="O8" t="str">
        <f t="shared" si="1"/>
        <v/>
      </c>
      <c r="P8" t="str">
        <f t="shared" si="2"/>
        <v/>
      </c>
      <c r="W8" t="str">
        <f t="shared" si="3"/>
        <v/>
      </c>
      <c r="Y8" t="s">
        <v>60</v>
      </c>
      <c r="Z8" t="s">
        <v>61</v>
      </c>
      <c r="AA8" t="s">
        <v>62</v>
      </c>
      <c r="AB8" t="s">
        <v>63</v>
      </c>
      <c r="AC8" t="s">
        <v>64</v>
      </c>
      <c r="AD8" t="s">
        <v>65</v>
      </c>
    </row>
    <row r="9" spans="1:30" x14ac:dyDescent="0.35">
      <c r="J9" s="1" t="str">
        <f t="shared" si="0"/>
        <v/>
      </c>
      <c r="O9" t="str">
        <f t="shared" si="1"/>
        <v/>
      </c>
      <c r="P9" t="str">
        <f t="shared" si="2"/>
        <v/>
      </c>
      <c r="W9" t="str">
        <f t="shared" si="3"/>
        <v/>
      </c>
      <c r="Z9" t="s">
        <v>66</v>
      </c>
      <c r="AA9" t="s">
        <v>67</v>
      </c>
      <c r="AB9" t="s">
        <v>68</v>
      </c>
      <c r="AC9" t="s">
        <v>69</v>
      </c>
      <c r="AD9" t="s">
        <v>70</v>
      </c>
    </row>
    <row r="10" spans="1:30" x14ac:dyDescent="0.35">
      <c r="J10" s="1" t="str">
        <f t="shared" si="0"/>
        <v/>
      </c>
      <c r="O10" t="str">
        <f t="shared" si="1"/>
        <v/>
      </c>
      <c r="P10" t="str">
        <f t="shared" si="2"/>
        <v/>
      </c>
      <c r="W10" t="str">
        <f t="shared" si="3"/>
        <v/>
      </c>
      <c r="Z10" t="s">
        <v>71</v>
      </c>
      <c r="AA10" t="s">
        <v>72</v>
      </c>
      <c r="AB10" t="s">
        <v>73</v>
      </c>
      <c r="AC10" t="s">
        <v>74</v>
      </c>
      <c r="AD10" t="s">
        <v>75</v>
      </c>
    </row>
    <row r="11" spans="1:30" x14ac:dyDescent="0.35">
      <c r="J11" s="1" t="str">
        <f t="shared" si="0"/>
        <v/>
      </c>
      <c r="O11" t="str">
        <f t="shared" si="1"/>
        <v/>
      </c>
      <c r="P11" t="str">
        <f t="shared" si="2"/>
        <v/>
      </c>
      <c r="W11" t="str">
        <f t="shared" si="3"/>
        <v/>
      </c>
      <c r="Z11" t="s">
        <v>76</v>
      </c>
      <c r="AA11" t="s">
        <v>77</v>
      </c>
      <c r="AB11" t="s">
        <v>78</v>
      </c>
      <c r="AC11" t="s">
        <v>79</v>
      </c>
      <c r="AD11" t="s">
        <v>80</v>
      </c>
    </row>
    <row r="12" spans="1:30" x14ac:dyDescent="0.35">
      <c r="J12" s="1" t="str">
        <f t="shared" si="0"/>
        <v/>
      </c>
      <c r="O12" t="str">
        <f t="shared" si="1"/>
        <v/>
      </c>
      <c r="P12" t="str">
        <f t="shared" si="2"/>
        <v/>
      </c>
      <c r="W12" t="str">
        <f t="shared" si="3"/>
        <v/>
      </c>
      <c r="Z12" t="s">
        <v>81</v>
      </c>
      <c r="AA12" t="s">
        <v>82</v>
      </c>
      <c r="AB12" t="s">
        <v>83</v>
      </c>
      <c r="AC12" t="s">
        <v>84</v>
      </c>
      <c r="AD12" t="s">
        <v>85</v>
      </c>
    </row>
    <row r="13" spans="1:30" x14ac:dyDescent="0.35">
      <c r="J13" s="1" t="str">
        <f t="shared" si="0"/>
        <v/>
      </c>
      <c r="O13" t="str">
        <f t="shared" si="1"/>
        <v/>
      </c>
      <c r="P13" t="str">
        <f t="shared" si="2"/>
        <v/>
      </c>
      <c r="W13" t="str">
        <f t="shared" si="3"/>
        <v/>
      </c>
      <c r="Z13" t="s">
        <v>86</v>
      </c>
      <c r="AA13" t="s">
        <v>87</v>
      </c>
      <c r="AB13" t="s">
        <v>88</v>
      </c>
      <c r="AC13" t="s">
        <v>89</v>
      </c>
      <c r="AD13" t="s">
        <v>90</v>
      </c>
    </row>
    <row r="14" spans="1:30" x14ac:dyDescent="0.35">
      <c r="J14" s="1" t="str">
        <f t="shared" si="0"/>
        <v/>
      </c>
      <c r="O14" t="str">
        <f t="shared" si="1"/>
        <v/>
      </c>
      <c r="P14" t="str">
        <f t="shared" si="2"/>
        <v/>
      </c>
      <c r="W14" t="str">
        <f t="shared" si="3"/>
        <v/>
      </c>
      <c r="Z14" t="s">
        <v>91</v>
      </c>
      <c r="AA14" t="s">
        <v>92</v>
      </c>
      <c r="AB14" t="s">
        <v>93</v>
      </c>
      <c r="AC14" t="s">
        <v>94</v>
      </c>
      <c r="AD14" t="s">
        <v>95</v>
      </c>
    </row>
    <row r="15" spans="1:30" x14ac:dyDescent="0.35">
      <c r="J15" s="1" t="str">
        <f t="shared" si="0"/>
        <v/>
      </c>
      <c r="O15" t="str">
        <f t="shared" si="1"/>
        <v/>
      </c>
      <c r="P15" t="str">
        <f t="shared" si="2"/>
        <v/>
      </c>
      <c r="W15" t="str">
        <f t="shared" si="3"/>
        <v/>
      </c>
      <c r="Z15" t="s">
        <v>96</v>
      </c>
      <c r="AA15" t="s">
        <v>97</v>
      </c>
      <c r="AB15" t="s">
        <v>98</v>
      </c>
      <c r="AC15" t="s">
        <v>99</v>
      </c>
      <c r="AD15" t="s">
        <v>100</v>
      </c>
    </row>
    <row r="16" spans="1:30" x14ac:dyDescent="0.35">
      <c r="J16" s="1" t="str">
        <f t="shared" si="0"/>
        <v/>
      </c>
      <c r="O16" t="str">
        <f t="shared" si="1"/>
        <v/>
      </c>
      <c r="P16" t="str">
        <f t="shared" si="2"/>
        <v/>
      </c>
      <c r="W16" t="str">
        <f t="shared" si="3"/>
        <v/>
      </c>
      <c r="Z16" t="s">
        <v>101</v>
      </c>
      <c r="AA16" t="s">
        <v>102</v>
      </c>
      <c r="AB16" t="s">
        <v>103</v>
      </c>
      <c r="AC16" t="s">
        <v>104</v>
      </c>
      <c r="AD16" t="s">
        <v>105</v>
      </c>
    </row>
    <row r="17" spans="10:30" x14ac:dyDescent="0.35">
      <c r="J17" s="1" t="str">
        <f t="shared" si="0"/>
        <v/>
      </c>
      <c r="O17" t="str">
        <f t="shared" si="1"/>
        <v/>
      </c>
      <c r="P17" t="str">
        <f t="shared" si="2"/>
        <v/>
      </c>
      <c r="W17" t="str">
        <f t="shared" si="3"/>
        <v/>
      </c>
      <c r="Z17" t="s">
        <v>106</v>
      </c>
      <c r="AA17" t="s">
        <v>107</v>
      </c>
      <c r="AB17" t="s">
        <v>108</v>
      </c>
      <c r="AC17" t="s">
        <v>109</v>
      </c>
      <c r="AD17" t="s">
        <v>110</v>
      </c>
    </row>
    <row r="18" spans="10:30" x14ac:dyDescent="0.35">
      <c r="J18" s="1" t="str">
        <f t="shared" si="0"/>
        <v/>
      </c>
      <c r="O18" t="str">
        <f t="shared" si="1"/>
        <v/>
      </c>
      <c r="P18" t="str">
        <f t="shared" si="2"/>
        <v/>
      </c>
      <c r="W18" t="str">
        <f t="shared" si="3"/>
        <v/>
      </c>
      <c r="Z18" t="s">
        <v>111</v>
      </c>
      <c r="AA18" t="s">
        <v>112</v>
      </c>
      <c r="AB18" t="s">
        <v>113</v>
      </c>
      <c r="AC18" t="s">
        <v>114</v>
      </c>
      <c r="AD18" t="s">
        <v>115</v>
      </c>
    </row>
    <row r="19" spans="10:30" x14ac:dyDescent="0.35">
      <c r="J19" s="1" t="str">
        <f t="shared" si="0"/>
        <v/>
      </c>
      <c r="O19" t="str">
        <f t="shared" si="1"/>
        <v/>
      </c>
      <c r="P19" t="str">
        <f t="shared" si="2"/>
        <v/>
      </c>
      <c r="W19" t="str">
        <f t="shared" si="3"/>
        <v/>
      </c>
      <c r="Z19" t="s">
        <v>116</v>
      </c>
      <c r="AA19" t="s">
        <v>117</v>
      </c>
      <c r="AB19" t="s">
        <v>118</v>
      </c>
      <c r="AC19" t="s">
        <v>119</v>
      </c>
      <c r="AD19" t="s">
        <v>120</v>
      </c>
    </row>
    <row r="20" spans="10:30" x14ac:dyDescent="0.35">
      <c r="J20" s="1" t="str">
        <f t="shared" si="0"/>
        <v/>
      </c>
      <c r="O20" t="str">
        <f t="shared" si="1"/>
        <v/>
      </c>
      <c r="P20" t="str">
        <f t="shared" si="2"/>
        <v/>
      </c>
      <c r="W20" t="str">
        <f t="shared" si="3"/>
        <v/>
      </c>
      <c r="Z20" t="s">
        <v>121</v>
      </c>
      <c r="AA20" t="s">
        <v>122</v>
      </c>
      <c r="AB20" t="s">
        <v>123</v>
      </c>
      <c r="AC20" t="s">
        <v>124</v>
      </c>
      <c r="AD20" t="s">
        <v>125</v>
      </c>
    </row>
    <row r="21" spans="10:30" x14ac:dyDescent="0.35">
      <c r="J21" s="1" t="str">
        <f t="shared" si="0"/>
        <v/>
      </c>
      <c r="O21" t="str">
        <f t="shared" si="1"/>
        <v/>
      </c>
      <c r="P21" t="str">
        <f t="shared" si="2"/>
        <v/>
      </c>
      <c r="W21" t="str">
        <f t="shared" si="3"/>
        <v/>
      </c>
      <c r="Z21" t="s">
        <v>126</v>
      </c>
      <c r="AA21" t="s">
        <v>127</v>
      </c>
      <c r="AB21" t="s">
        <v>128</v>
      </c>
      <c r="AC21" t="s">
        <v>129</v>
      </c>
      <c r="AD21" t="s">
        <v>130</v>
      </c>
    </row>
    <row r="22" spans="10:30" x14ac:dyDescent="0.35">
      <c r="J22" s="1" t="str">
        <f t="shared" si="0"/>
        <v/>
      </c>
      <c r="O22" t="str">
        <f t="shared" si="1"/>
        <v/>
      </c>
      <c r="P22" t="str">
        <f t="shared" si="2"/>
        <v/>
      </c>
      <c r="W22" t="str">
        <f t="shared" si="3"/>
        <v/>
      </c>
      <c r="Z22" t="s">
        <v>131</v>
      </c>
      <c r="AA22" t="s">
        <v>132</v>
      </c>
      <c r="AB22" t="s">
        <v>133</v>
      </c>
      <c r="AC22" t="s">
        <v>134</v>
      </c>
      <c r="AD22" t="s">
        <v>135</v>
      </c>
    </row>
    <row r="23" spans="10:30" x14ac:dyDescent="0.35">
      <c r="J23" s="1" t="str">
        <f t="shared" si="0"/>
        <v/>
      </c>
      <c r="O23" t="str">
        <f t="shared" si="1"/>
        <v/>
      </c>
      <c r="P23" t="str">
        <f t="shared" si="2"/>
        <v/>
      </c>
      <c r="W23" t="str">
        <f t="shared" si="3"/>
        <v/>
      </c>
      <c r="Z23" t="s">
        <v>136</v>
      </c>
      <c r="AA23" t="s">
        <v>137</v>
      </c>
      <c r="AB23" t="s">
        <v>138</v>
      </c>
      <c r="AC23" t="s">
        <v>139</v>
      </c>
      <c r="AD23" t="s">
        <v>140</v>
      </c>
    </row>
    <row r="24" spans="10:30" x14ac:dyDescent="0.35">
      <c r="J24" s="1" t="str">
        <f t="shared" si="0"/>
        <v/>
      </c>
      <c r="O24" t="str">
        <f t="shared" si="1"/>
        <v/>
      </c>
      <c r="P24" t="str">
        <f t="shared" si="2"/>
        <v/>
      </c>
      <c r="W24" t="str">
        <f t="shared" si="3"/>
        <v/>
      </c>
      <c r="Z24" t="s">
        <v>141</v>
      </c>
      <c r="AA24" t="s">
        <v>142</v>
      </c>
      <c r="AB24" t="s">
        <v>143</v>
      </c>
      <c r="AC24" t="s">
        <v>144</v>
      </c>
      <c r="AD24" t="s">
        <v>145</v>
      </c>
    </row>
    <row r="25" spans="10:30" x14ac:dyDescent="0.35">
      <c r="J25" s="1" t="str">
        <f t="shared" si="0"/>
        <v/>
      </c>
      <c r="O25" t="str">
        <f t="shared" si="1"/>
        <v/>
      </c>
      <c r="P25" t="str">
        <f t="shared" si="2"/>
        <v/>
      </c>
      <c r="W25" t="str">
        <f t="shared" si="3"/>
        <v/>
      </c>
      <c r="Z25" t="s">
        <v>146</v>
      </c>
      <c r="AA25" t="s">
        <v>147</v>
      </c>
      <c r="AB25" t="s">
        <v>148</v>
      </c>
      <c r="AC25" t="s">
        <v>149</v>
      </c>
      <c r="AD25" t="s">
        <v>150</v>
      </c>
    </row>
    <row r="26" spans="10:30" x14ac:dyDescent="0.35">
      <c r="J26" s="1" t="str">
        <f t="shared" si="0"/>
        <v/>
      </c>
      <c r="O26" t="str">
        <f t="shared" si="1"/>
        <v/>
      </c>
      <c r="P26" t="str">
        <f t="shared" si="2"/>
        <v/>
      </c>
      <c r="W26" t="str">
        <f t="shared" si="3"/>
        <v/>
      </c>
      <c r="Z26" t="s">
        <v>151</v>
      </c>
      <c r="AA26" t="s">
        <v>152</v>
      </c>
      <c r="AB26" t="s">
        <v>153</v>
      </c>
      <c r="AD26" t="s">
        <v>154</v>
      </c>
    </row>
    <row r="27" spans="10:30" x14ac:dyDescent="0.35">
      <c r="J27" s="1" t="str">
        <f t="shared" si="0"/>
        <v/>
      </c>
      <c r="O27" t="str">
        <f t="shared" si="1"/>
        <v/>
      </c>
      <c r="P27" t="str">
        <f t="shared" si="2"/>
        <v/>
      </c>
      <c r="W27" t="str">
        <f t="shared" si="3"/>
        <v/>
      </c>
      <c r="Z27" t="s">
        <v>155</v>
      </c>
      <c r="AA27" t="s">
        <v>156</v>
      </c>
      <c r="AB27" t="s">
        <v>157</v>
      </c>
      <c r="AD27" t="s">
        <v>158</v>
      </c>
    </row>
    <row r="28" spans="10:30" x14ac:dyDescent="0.35">
      <c r="J28" s="1" t="str">
        <f t="shared" si="0"/>
        <v/>
      </c>
      <c r="O28" t="str">
        <f t="shared" si="1"/>
        <v/>
      </c>
      <c r="P28" t="str">
        <f t="shared" si="2"/>
        <v/>
      </c>
      <c r="W28" t="str">
        <f t="shared" si="3"/>
        <v/>
      </c>
      <c r="AA28" t="s">
        <v>159</v>
      </c>
      <c r="AB28" t="s">
        <v>160</v>
      </c>
      <c r="AD28" t="s">
        <v>161</v>
      </c>
    </row>
    <row r="29" spans="10:30" x14ac:dyDescent="0.35">
      <c r="J29" s="1" t="str">
        <f t="shared" si="0"/>
        <v/>
      </c>
      <c r="O29" t="str">
        <f t="shared" si="1"/>
        <v/>
      </c>
      <c r="P29" t="str">
        <f t="shared" si="2"/>
        <v/>
      </c>
      <c r="W29" t="str">
        <f t="shared" si="3"/>
        <v/>
      </c>
      <c r="AA29" t="s">
        <v>162</v>
      </c>
      <c r="AB29" t="s">
        <v>163</v>
      </c>
      <c r="AD29" t="s">
        <v>164</v>
      </c>
    </row>
    <row r="30" spans="10:30" x14ac:dyDescent="0.35">
      <c r="J30" s="1" t="str">
        <f t="shared" si="0"/>
        <v/>
      </c>
      <c r="O30" t="str">
        <f t="shared" si="1"/>
        <v/>
      </c>
      <c r="P30" t="str">
        <f t="shared" si="2"/>
        <v/>
      </c>
      <c r="W30" t="str">
        <f t="shared" si="3"/>
        <v/>
      </c>
      <c r="AA30" t="s">
        <v>165</v>
      </c>
      <c r="AB30" t="s">
        <v>166</v>
      </c>
      <c r="AD30" t="s">
        <v>167</v>
      </c>
    </row>
    <row r="31" spans="10:30" x14ac:dyDescent="0.35">
      <c r="J31" s="1" t="str">
        <f t="shared" si="0"/>
        <v/>
      </c>
      <c r="O31" t="str">
        <f t="shared" si="1"/>
        <v/>
      </c>
      <c r="P31" t="str">
        <f t="shared" si="2"/>
        <v/>
      </c>
      <c r="W31" t="str">
        <f t="shared" si="3"/>
        <v/>
      </c>
      <c r="AA31" t="s">
        <v>168</v>
      </c>
      <c r="AB31" t="s">
        <v>169</v>
      </c>
      <c r="AD31" t="s">
        <v>170</v>
      </c>
    </row>
    <row r="32" spans="10:30" x14ac:dyDescent="0.35">
      <c r="J32" s="1" t="str">
        <f t="shared" si="0"/>
        <v/>
      </c>
      <c r="O32" t="str">
        <f t="shared" si="1"/>
        <v/>
      </c>
      <c r="P32" t="str">
        <f t="shared" si="2"/>
        <v/>
      </c>
      <c r="W32" t="str">
        <f t="shared" si="3"/>
        <v/>
      </c>
      <c r="AA32" t="s">
        <v>171</v>
      </c>
      <c r="AB32" t="s">
        <v>172</v>
      </c>
      <c r="AD32" t="s">
        <v>173</v>
      </c>
    </row>
    <row r="33" spans="10:30" x14ac:dyDescent="0.35">
      <c r="J33" s="1" t="str">
        <f t="shared" si="0"/>
        <v/>
      </c>
      <c r="O33" t="str">
        <f t="shared" si="1"/>
        <v/>
      </c>
      <c r="P33" t="str">
        <f t="shared" si="2"/>
        <v/>
      </c>
      <c r="W33" t="str">
        <f t="shared" si="3"/>
        <v/>
      </c>
      <c r="AA33" t="s">
        <v>174</v>
      </c>
      <c r="AB33" t="s">
        <v>175</v>
      </c>
      <c r="AD33" t="s">
        <v>176</v>
      </c>
    </row>
    <row r="34" spans="10:30" x14ac:dyDescent="0.35">
      <c r="J34" s="1" t="str">
        <f t="shared" ref="J34:J65" si="4">IF($F34="","",TRIM(MID($F34,FIND(" - ",$F34)+3,LEN($F34))))</f>
        <v/>
      </c>
      <c r="O34" t="str">
        <f t="shared" ref="O34:O65" si="5">IF(OR($M34="",$N34=""),"",IFERROR($M34/$N34,0))</f>
        <v/>
      </c>
      <c r="P34" t="str">
        <f t="shared" ref="P34:P65" si="6">IF($M34="","",
IF($G34="","",
IF(ISNUMBER(SEARCH("exempt",LOWER($G34))),0,
$M34*(VALUE(SUBSTITUTE($G34,"%",""))/100))))</f>
        <v/>
      </c>
      <c r="W34" t="str">
        <f t="shared" ref="W34:W65" si="7">IF($M34="","",
SUM($M34,$P34,$T34,$Q34,$S34,$R34,$U34)-
IF($V34="",0,VALUE($V34)))</f>
        <v/>
      </c>
      <c r="AB34" t="s">
        <v>177</v>
      </c>
      <c r="AD34" t="s">
        <v>178</v>
      </c>
    </row>
    <row r="35" spans="10:30" x14ac:dyDescent="0.35">
      <c r="J35" s="1" t="str">
        <f t="shared" si="4"/>
        <v/>
      </c>
      <c r="O35" t="str">
        <f t="shared" si="5"/>
        <v/>
      </c>
      <c r="P35" t="str">
        <f t="shared" si="6"/>
        <v/>
      </c>
      <c r="W35" t="str">
        <f t="shared" si="7"/>
        <v/>
      </c>
      <c r="AB35" t="s">
        <v>179</v>
      </c>
      <c r="AD35" t="s">
        <v>180</v>
      </c>
    </row>
    <row r="36" spans="10:30" x14ac:dyDescent="0.35">
      <c r="J36" s="1" t="str">
        <f t="shared" si="4"/>
        <v/>
      </c>
      <c r="O36" t="str">
        <f t="shared" si="5"/>
        <v/>
      </c>
      <c r="P36" t="str">
        <f t="shared" si="6"/>
        <v/>
      </c>
      <c r="W36" t="str">
        <f t="shared" si="7"/>
        <v/>
      </c>
      <c r="AB36" t="s">
        <v>181</v>
      </c>
      <c r="AD36" t="s">
        <v>182</v>
      </c>
    </row>
    <row r="37" spans="10:30" x14ac:dyDescent="0.35">
      <c r="J37" s="1" t="str">
        <f t="shared" si="4"/>
        <v/>
      </c>
      <c r="O37" t="str">
        <f t="shared" si="5"/>
        <v/>
      </c>
      <c r="P37" t="str">
        <f t="shared" si="6"/>
        <v/>
      </c>
      <c r="W37" t="str">
        <f t="shared" si="7"/>
        <v/>
      </c>
      <c r="AB37" t="s">
        <v>183</v>
      </c>
      <c r="AD37" t="s">
        <v>184</v>
      </c>
    </row>
    <row r="38" spans="10:30" x14ac:dyDescent="0.35">
      <c r="J38" s="1" t="str">
        <f t="shared" si="4"/>
        <v/>
      </c>
      <c r="O38" t="str">
        <f t="shared" si="5"/>
        <v/>
      </c>
      <c r="P38" t="str">
        <f t="shared" si="6"/>
        <v/>
      </c>
      <c r="W38" t="str">
        <f t="shared" si="7"/>
        <v/>
      </c>
      <c r="AB38" t="s">
        <v>185</v>
      </c>
      <c r="AD38" t="s">
        <v>186</v>
      </c>
    </row>
    <row r="39" spans="10:30" x14ac:dyDescent="0.35">
      <c r="J39" s="1" t="str">
        <f t="shared" si="4"/>
        <v/>
      </c>
      <c r="O39" t="str">
        <f t="shared" si="5"/>
        <v/>
      </c>
      <c r="P39" t="str">
        <f t="shared" si="6"/>
        <v/>
      </c>
      <c r="W39" t="str">
        <f t="shared" si="7"/>
        <v/>
      </c>
      <c r="AB39" t="s">
        <v>187</v>
      </c>
      <c r="AD39" t="s">
        <v>188</v>
      </c>
    </row>
    <row r="40" spans="10:30" x14ac:dyDescent="0.35">
      <c r="J40" s="1" t="str">
        <f t="shared" si="4"/>
        <v/>
      </c>
      <c r="O40" t="str">
        <f t="shared" si="5"/>
        <v/>
      </c>
      <c r="P40" t="str">
        <f t="shared" si="6"/>
        <v/>
      </c>
      <c r="W40" t="str">
        <f t="shared" si="7"/>
        <v/>
      </c>
      <c r="AB40" t="s">
        <v>189</v>
      </c>
      <c r="AD40" t="s">
        <v>190</v>
      </c>
    </row>
    <row r="41" spans="10:30" x14ac:dyDescent="0.35">
      <c r="J41" s="1" t="str">
        <f t="shared" si="4"/>
        <v/>
      </c>
      <c r="O41" t="str">
        <f t="shared" si="5"/>
        <v/>
      </c>
      <c r="P41" t="str">
        <f t="shared" si="6"/>
        <v/>
      </c>
      <c r="W41" t="str">
        <f t="shared" si="7"/>
        <v/>
      </c>
      <c r="AB41" t="s">
        <v>191</v>
      </c>
      <c r="AD41" t="s">
        <v>192</v>
      </c>
    </row>
    <row r="42" spans="10:30" x14ac:dyDescent="0.35">
      <c r="J42" s="1" t="str">
        <f t="shared" si="4"/>
        <v/>
      </c>
      <c r="O42" t="str">
        <f t="shared" si="5"/>
        <v/>
      </c>
      <c r="P42" t="str">
        <f t="shared" si="6"/>
        <v/>
      </c>
      <c r="W42" t="str">
        <f t="shared" si="7"/>
        <v/>
      </c>
      <c r="AB42" t="s">
        <v>193</v>
      </c>
      <c r="AD42" t="s">
        <v>194</v>
      </c>
    </row>
    <row r="43" spans="10:30" x14ac:dyDescent="0.35">
      <c r="J43" s="1" t="str">
        <f t="shared" si="4"/>
        <v/>
      </c>
      <c r="O43" t="str">
        <f t="shared" si="5"/>
        <v/>
      </c>
      <c r="P43" t="str">
        <f t="shared" si="6"/>
        <v/>
      </c>
      <c r="W43" t="str">
        <f t="shared" si="7"/>
        <v/>
      </c>
      <c r="AB43" t="s">
        <v>195</v>
      </c>
      <c r="AD43" t="s">
        <v>196</v>
      </c>
    </row>
    <row r="44" spans="10:30" x14ac:dyDescent="0.35">
      <c r="J44" s="1" t="str">
        <f t="shared" si="4"/>
        <v/>
      </c>
      <c r="O44" t="str">
        <f t="shared" si="5"/>
        <v/>
      </c>
      <c r="P44" t="str">
        <f t="shared" si="6"/>
        <v/>
      </c>
      <c r="W44" t="str">
        <f t="shared" si="7"/>
        <v/>
      </c>
      <c r="AB44" t="s">
        <v>197</v>
      </c>
      <c r="AD44" t="s">
        <v>198</v>
      </c>
    </row>
    <row r="45" spans="10:30" x14ac:dyDescent="0.35">
      <c r="J45" s="1" t="str">
        <f t="shared" si="4"/>
        <v/>
      </c>
      <c r="O45" t="str">
        <f t="shared" si="5"/>
        <v/>
      </c>
      <c r="P45" t="str">
        <f t="shared" si="6"/>
        <v/>
      </c>
      <c r="W45" t="str">
        <f t="shared" si="7"/>
        <v/>
      </c>
      <c r="AB45" t="s">
        <v>199</v>
      </c>
      <c r="AD45" t="s">
        <v>200</v>
      </c>
    </row>
    <row r="46" spans="10:30" x14ac:dyDescent="0.35">
      <c r="J46" s="1" t="str">
        <f t="shared" si="4"/>
        <v/>
      </c>
      <c r="O46" t="str">
        <f t="shared" si="5"/>
        <v/>
      </c>
      <c r="P46" t="str">
        <f t="shared" si="6"/>
        <v/>
      </c>
      <c r="W46" t="str">
        <f t="shared" si="7"/>
        <v/>
      </c>
      <c r="AB46" t="s">
        <v>201</v>
      </c>
      <c r="AD46" t="s">
        <v>202</v>
      </c>
    </row>
    <row r="47" spans="10:30" x14ac:dyDescent="0.35">
      <c r="J47" s="1" t="str">
        <f t="shared" si="4"/>
        <v/>
      </c>
      <c r="O47" t="str">
        <f t="shared" si="5"/>
        <v/>
      </c>
      <c r="P47" t="str">
        <f t="shared" si="6"/>
        <v/>
      </c>
      <c r="W47" t="str">
        <f t="shared" si="7"/>
        <v/>
      </c>
      <c r="AB47" t="s">
        <v>203</v>
      </c>
      <c r="AD47" t="s">
        <v>204</v>
      </c>
    </row>
    <row r="48" spans="10:30" x14ac:dyDescent="0.35">
      <c r="J48" s="1" t="str">
        <f t="shared" si="4"/>
        <v/>
      </c>
      <c r="O48" t="str">
        <f t="shared" si="5"/>
        <v/>
      </c>
      <c r="P48" t="str">
        <f t="shared" si="6"/>
        <v/>
      </c>
      <c r="W48" t="str">
        <f t="shared" si="7"/>
        <v/>
      </c>
      <c r="AB48" t="s">
        <v>205</v>
      </c>
      <c r="AD48" t="s">
        <v>206</v>
      </c>
    </row>
    <row r="49" spans="10:30" x14ac:dyDescent="0.35">
      <c r="J49" s="1" t="str">
        <f t="shared" si="4"/>
        <v/>
      </c>
      <c r="O49" t="str">
        <f t="shared" si="5"/>
        <v/>
      </c>
      <c r="P49" t="str">
        <f t="shared" si="6"/>
        <v/>
      </c>
      <c r="W49" t="str">
        <f t="shared" si="7"/>
        <v/>
      </c>
      <c r="AB49" t="s">
        <v>207</v>
      </c>
      <c r="AD49" t="s">
        <v>208</v>
      </c>
    </row>
    <row r="50" spans="10:30" x14ac:dyDescent="0.35">
      <c r="J50" s="1" t="str">
        <f t="shared" si="4"/>
        <v/>
      </c>
      <c r="O50" t="str">
        <f t="shared" si="5"/>
        <v/>
      </c>
      <c r="P50" t="str">
        <f t="shared" si="6"/>
        <v/>
      </c>
      <c r="W50" t="str">
        <f t="shared" si="7"/>
        <v/>
      </c>
      <c r="AB50" t="s">
        <v>209</v>
      </c>
      <c r="AD50" t="s">
        <v>210</v>
      </c>
    </row>
    <row r="51" spans="10:30" x14ac:dyDescent="0.35">
      <c r="J51" s="1" t="str">
        <f t="shared" si="4"/>
        <v/>
      </c>
      <c r="O51" t="str">
        <f t="shared" si="5"/>
        <v/>
      </c>
      <c r="P51" t="str">
        <f t="shared" si="6"/>
        <v/>
      </c>
      <c r="W51" t="str">
        <f t="shared" si="7"/>
        <v/>
      </c>
      <c r="AB51" t="s">
        <v>211</v>
      </c>
      <c r="AD51" t="s">
        <v>212</v>
      </c>
    </row>
    <row r="52" spans="10:30" x14ac:dyDescent="0.35">
      <c r="J52" s="1" t="str">
        <f t="shared" si="4"/>
        <v/>
      </c>
      <c r="O52" t="str">
        <f t="shared" si="5"/>
        <v/>
      </c>
      <c r="P52" t="str">
        <f t="shared" si="6"/>
        <v/>
      </c>
      <c r="W52" t="str">
        <f t="shared" si="7"/>
        <v/>
      </c>
      <c r="AB52" t="s">
        <v>213</v>
      </c>
      <c r="AD52" t="s">
        <v>214</v>
      </c>
    </row>
    <row r="53" spans="10:30" x14ac:dyDescent="0.35">
      <c r="J53" s="1" t="str">
        <f t="shared" si="4"/>
        <v/>
      </c>
      <c r="O53" t="str">
        <f t="shared" si="5"/>
        <v/>
      </c>
      <c r="P53" t="str">
        <f t="shared" si="6"/>
        <v/>
      </c>
      <c r="W53" t="str">
        <f t="shared" si="7"/>
        <v/>
      </c>
      <c r="AB53" t="s">
        <v>215</v>
      </c>
      <c r="AD53" t="s">
        <v>216</v>
      </c>
    </row>
    <row r="54" spans="10:30" x14ac:dyDescent="0.35">
      <c r="J54" s="1" t="str">
        <f t="shared" si="4"/>
        <v/>
      </c>
      <c r="O54" t="str">
        <f t="shared" si="5"/>
        <v/>
      </c>
      <c r="P54" t="str">
        <f t="shared" si="6"/>
        <v/>
      </c>
      <c r="W54" t="str">
        <f t="shared" si="7"/>
        <v/>
      </c>
      <c r="AB54" t="s">
        <v>217</v>
      </c>
      <c r="AD54" t="s">
        <v>218</v>
      </c>
    </row>
    <row r="55" spans="10:30" x14ac:dyDescent="0.35">
      <c r="J55" s="1" t="str">
        <f t="shared" si="4"/>
        <v/>
      </c>
      <c r="O55" t="str">
        <f t="shared" si="5"/>
        <v/>
      </c>
      <c r="P55" t="str">
        <f t="shared" si="6"/>
        <v/>
      </c>
      <c r="W55" t="str">
        <f t="shared" si="7"/>
        <v/>
      </c>
      <c r="AB55" t="s">
        <v>219</v>
      </c>
      <c r="AD55" t="s">
        <v>220</v>
      </c>
    </row>
    <row r="56" spans="10:30" x14ac:dyDescent="0.35">
      <c r="J56" s="1" t="str">
        <f t="shared" si="4"/>
        <v/>
      </c>
      <c r="O56" t="str">
        <f t="shared" si="5"/>
        <v/>
      </c>
      <c r="P56" t="str">
        <f t="shared" si="6"/>
        <v/>
      </c>
      <c r="W56" t="str">
        <f t="shared" si="7"/>
        <v/>
      </c>
      <c r="AB56" t="s">
        <v>221</v>
      </c>
      <c r="AD56" t="s">
        <v>222</v>
      </c>
    </row>
    <row r="57" spans="10:30" x14ac:dyDescent="0.35">
      <c r="J57" s="1" t="str">
        <f t="shared" si="4"/>
        <v/>
      </c>
      <c r="O57" t="str">
        <f t="shared" si="5"/>
        <v/>
      </c>
      <c r="P57" t="str">
        <f t="shared" si="6"/>
        <v/>
      </c>
      <c r="W57" t="str">
        <f t="shared" si="7"/>
        <v/>
      </c>
      <c r="AB57" t="s">
        <v>223</v>
      </c>
      <c r="AD57" t="s">
        <v>224</v>
      </c>
    </row>
    <row r="58" spans="10:30" x14ac:dyDescent="0.35">
      <c r="J58" s="1" t="str">
        <f t="shared" si="4"/>
        <v/>
      </c>
      <c r="O58" t="str">
        <f t="shared" si="5"/>
        <v/>
      </c>
      <c r="P58" t="str">
        <f t="shared" si="6"/>
        <v/>
      </c>
      <c r="W58" t="str">
        <f t="shared" si="7"/>
        <v/>
      </c>
      <c r="AB58" t="s">
        <v>225</v>
      </c>
      <c r="AD58" t="s">
        <v>226</v>
      </c>
    </row>
    <row r="59" spans="10:30" x14ac:dyDescent="0.35">
      <c r="J59" s="1" t="str">
        <f t="shared" si="4"/>
        <v/>
      </c>
      <c r="O59" t="str">
        <f t="shared" si="5"/>
        <v/>
      </c>
      <c r="P59" t="str">
        <f t="shared" si="6"/>
        <v/>
      </c>
      <c r="W59" t="str">
        <f t="shared" si="7"/>
        <v/>
      </c>
      <c r="AB59" t="s">
        <v>227</v>
      </c>
      <c r="AD59" t="s">
        <v>228</v>
      </c>
    </row>
    <row r="60" spans="10:30" x14ac:dyDescent="0.35">
      <c r="J60" s="1" t="str">
        <f t="shared" si="4"/>
        <v/>
      </c>
      <c r="O60" t="str">
        <f t="shared" si="5"/>
        <v/>
      </c>
      <c r="P60" t="str">
        <f t="shared" si="6"/>
        <v/>
      </c>
      <c r="W60" t="str">
        <f t="shared" si="7"/>
        <v/>
      </c>
      <c r="AB60" t="s">
        <v>229</v>
      </c>
      <c r="AD60" t="s">
        <v>230</v>
      </c>
    </row>
    <row r="61" spans="10:30" x14ac:dyDescent="0.35">
      <c r="J61" s="1" t="str">
        <f t="shared" si="4"/>
        <v/>
      </c>
      <c r="O61" t="str">
        <f t="shared" si="5"/>
        <v/>
      </c>
      <c r="P61" t="str">
        <f t="shared" si="6"/>
        <v/>
      </c>
      <c r="W61" t="str">
        <f t="shared" si="7"/>
        <v/>
      </c>
      <c r="AB61" t="s">
        <v>231</v>
      </c>
      <c r="AD61" t="s">
        <v>232</v>
      </c>
    </row>
    <row r="62" spans="10:30" x14ac:dyDescent="0.35">
      <c r="J62" s="1" t="str">
        <f t="shared" si="4"/>
        <v/>
      </c>
      <c r="O62" t="str">
        <f t="shared" si="5"/>
        <v/>
      </c>
      <c r="P62" t="str">
        <f t="shared" si="6"/>
        <v/>
      </c>
      <c r="W62" t="str">
        <f t="shared" si="7"/>
        <v/>
      </c>
      <c r="AB62" t="s">
        <v>233</v>
      </c>
      <c r="AD62" t="s">
        <v>234</v>
      </c>
    </row>
    <row r="63" spans="10:30" x14ac:dyDescent="0.35">
      <c r="J63" s="1" t="str">
        <f t="shared" si="4"/>
        <v/>
      </c>
      <c r="O63" t="str">
        <f t="shared" si="5"/>
        <v/>
      </c>
      <c r="P63" t="str">
        <f t="shared" si="6"/>
        <v/>
      </c>
      <c r="W63" t="str">
        <f t="shared" si="7"/>
        <v/>
      </c>
      <c r="AB63" t="s">
        <v>235</v>
      </c>
      <c r="AD63" t="s">
        <v>236</v>
      </c>
    </row>
    <row r="64" spans="10:30" x14ac:dyDescent="0.35">
      <c r="J64" s="1" t="str">
        <f t="shared" si="4"/>
        <v/>
      </c>
      <c r="O64" t="str">
        <f t="shared" si="5"/>
        <v/>
      </c>
      <c r="P64" t="str">
        <f t="shared" si="6"/>
        <v/>
      </c>
      <c r="W64" t="str">
        <f t="shared" si="7"/>
        <v/>
      </c>
      <c r="AB64" t="s">
        <v>237</v>
      </c>
      <c r="AD64" t="s">
        <v>238</v>
      </c>
    </row>
    <row r="65" spans="10:30" x14ac:dyDescent="0.35">
      <c r="J65" s="1" t="str">
        <f t="shared" si="4"/>
        <v/>
      </c>
      <c r="O65" t="str">
        <f t="shared" si="5"/>
        <v/>
      </c>
      <c r="P65" t="str">
        <f t="shared" si="6"/>
        <v/>
      </c>
      <c r="W65" t="str">
        <f t="shared" si="7"/>
        <v/>
      </c>
      <c r="AB65" t="s">
        <v>239</v>
      </c>
      <c r="AD65" t="s">
        <v>240</v>
      </c>
    </row>
    <row r="66" spans="10:30" x14ac:dyDescent="0.35">
      <c r="J66" s="1" t="str">
        <f t="shared" ref="J66:J101" si="8">IF($F66="","",TRIM(MID($F66,FIND(" - ",$F66)+3,LEN($F66))))</f>
        <v/>
      </c>
      <c r="O66" t="str">
        <f t="shared" ref="O66:O101" si="9">IF(OR($M66="",$N66=""),"",IFERROR($M66/$N66,0))</f>
        <v/>
      </c>
      <c r="P66" t="str">
        <f t="shared" ref="P66:P101" si="10">IF($M66="","",
IF($G66="","",
IF(ISNUMBER(SEARCH("exempt",LOWER($G66))),0,
$M66*(VALUE(SUBSTITUTE($G66,"%",""))/100))))</f>
        <v/>
      </c>
      <c r="W66" t="str">
        <f t="shared" ref="W66:W101" si="11">IF($M66="","",
SUM($M66,$P66,$T66,$Q66,$S66,$R66,$U66)-
IF($V66="",0,VALUE($V66)))</f>
        <v/>
      </c>
      <c r="AB66" t="s">
        <v>241</v>
      </c>
      <c r="AD66" t="s">
        <v>242</v>
      </c>
    </row>
    <row r="67" spans="10:30" x14ac:dyDescent="0.35">
      <c r="J67" s="1" t="str">
        <f t="shared" si="8"/>
        <v/>
      </c>
      <c r="O67" t="str">
        <f t="shared" si="9"/>
        <v/>
      </c>
      <c r="P67" t="str">
        <f t="shared" si="10"/>
        <v/>
      </c>
      <c r="W67" t="str">
        <f t="shared" si="11"/>
        <v/>
      </c>
      <c r="AB67" t="s">
        <v>243</v>
      </c>
      <c r="AD67" t="s">
        <v>244</v>
      </c>
    </row>
    <row r="68" spans="10:30" x14ac:dyDescent="0.35">
      <c r="J68" s="1" t="str">
        <f t="shared" si="8"/>
        <v/>
      </c>
      <c r="O68" t="str">
        <f t="shared" si="9"/>
        <v/>
      </c>
      <c r="P68" t="str">
        <f t="shared" si="10"/>
        <v/>
      </c>
      <c r="W68" t="str">
        <f t="shared" si="11"/>
        <v/>
      </c>
      <c r="AB68" t="s">
        <v>245</v>
      </c>
      <c r="AD68" t="s">
        <v>246</v>
      </c>
    </row>
    <row r="69" spans="10:30" x14ac:dyDescent="0.35">
      <c r="J69" s="1" t="str">
        <f t="shared" si="8"/>
        <v/>
      </c>
      <c r="O69" t="str">
        <f t="shared" si="9"/>
        <v/>
      </c>
      <c r="P69" t="str">
        <f t="shared" si="10"/>
        <v/>
      </c>
      <c r="W69" t="str">
        <f t="shared" si="11"/>
        <v/>
      </c>
      <c r="AB69" t="s">
        <v>247</v>
      </c>
      <c r="AD69" t="s">
        <v>248</v>
      </c>
    </row>
    <row r="70" spans="10:30" x14ac:dyDescent="0.35">
      <c r="J70" s="1" t="str">
        <f t="shared" si="8"/>
        <v/>
      </c>
      <c r="O70" t="str">
        <f t="shared" si="9"/>
        <v/>
      </c>
      <c r="P70" t="str">
        <f t="shared" si="10"/>
        <v/>
      </c>
      <c r="W70" t="str">
        <f t="shared" si="11"/>
        <v/>
      </c>
      <c r="AB70" t="s">
        <v>249</v>
      </c>
      <c r="AD70" t="s">
        <v>250</v>
      </c>
    </row>
    <row r="71" spans="10:30" x14ac:dyDescent="0.35">
      <c r="J71" s="1" t="str">
        <f t="shared" si="8"/>
        <v/>
      </c>
      <c r="O71" t="str">
        <f t="shared" si="9"/>
        <v/>
      </c>
      <c r="P71" t="str">
        <f t="shared" si="10"/>
        <v/>
      </c>
      <c r="W71" t="str">
        <f t="shared" si="11"/>
        <v/>
      </c>
      <c r="AD71" t="s">
        <v>251</v>
      </c>
    </row>
    <row r="72" spans="10:30" x14ac:dyDescent="0.35">
      <c r="J72" s="1" t="str">
        <f t="shared" si="8"/>
        <v/>
      </c>
      <c r="O72" t="str">
        <f t="shared" si="9"/>
        <v/>
      </c>
      <c r="P72" t="str">
        <f t="shared" si="10"/>
        <v/>
      </c>
      <c r="W72" t="str">
        <f t="shared" si="11"/>
        <v/>
      </c>
      <c r="AD72" t="s">
        <v>252</v>
      </c>
    </row>
    <row r="73" spans="10:30" x14ac:dyDescent="0.35">
      <c r="J73" s="1" t="str">
        <f t="shared" si="8"/>
        <v/>
      </c>
      <c r="O73" t="str">
        <f t="shared" si="9"/>
        <v/>
      </c>
      <c r="P73" t="str">
        <f t="shared" si="10"/>
        <v/>
      </c>
      <c r="W73" t="str">
        <f t="shared" si="11"/>
        <v/>
      </c>
      <c r="AD73" t="s">
        <v>253</v>
      </c>
    </row>
    <row r="74" spans="10:30" x14ac:dyDescent="0.35">
      <c r="J74" s="1" t="str">
        <f t="shared" si="8"/>
        <v/>
      </c>
      <c r="O74" t="str">
        <f t="shared" si="9"/>
        <v/>
      </c>
      <c r="P74" t="str">
        <f t="shared" si="10"/>
        <v/>
      </c>
      <c r="W74" t="str">
        <f t="shared" si="11"/>
        <v/>
      </c>
      <c r="AD74" t="s">
        <v>254</v>
      </c>
    </row>
    <row r="75" spans="10:30" x14ac:dyDescent="0.35">
      <c r="J75" s="1" t="str">
        <f t="shared" si="8"/>
        <v/>
      </c>
      <c r="O75" t="str">
        <f t="shared" si="9"/>
        <v/>
      </c>
      <c r="P75" t="str">
        <f t="shared" si="10"/>
        <v/>
      </c>
      <c r="W75" t="str">
        <f t="shared" si="11"/>
        <v/>
      </c>
      <c r="AD75" t="s">
        <v>255</v>
      </c>
    </row>
    <row r="76" spans="10:30" x14ac:dyDescent="0.35">
      <c r="J76" s="1" t="str">
        <f t="shared" si="8"/>
        <v/>
      </c>
      <c r="O76" t="str">
        <f t="shared" si="9"/>
        <v/>
      </c>
      <c r="P76" t="str">
        <f t="shared" si="10"/>
        <v/>
      </c>
      <c r="W76" t="str">
        <f t="shared" si="11"/>
        <v/>
      </c>
      <c r="AD76" t="s">
        <v>256</v>
      </c>
    </row>
    <row r="77" spans="10:30" x14ac:dyDescent="0.35">
      <c r="J77" s="1" t="str">
        <f t="shared" si="8"/>
        <v/>
      </c>
      <c r="O77" t="str">
        <f t="shared" si="9"/>
        <v/>
      </c>
      <c r="P77" t="str">
        <f t="shared" si="10"/>
        <v/>
      </c>
      <c r="W77" t="str">
        <f t="shared" si="11"/>
        <v/>
      </c>
      <c r="AD77" t="s">
        <v>257</v>
      </c>
    </row>
    <row r="78" spans="10:30" x14ac:dyDescent="0.35">
      <c r="J78" s="1" t="str">
        <f t="shared" si="8"/>
        <v/>
      </c>
      <c r="O78" t="str">
        <f t="shared" si="9"/>
        <v/>
      </c>
      <c r="P78" t="str">
        <f t="shared" si="10"/>
        <v/>
      </c>
      <c r="W78" t="str">
        <f t="shared" si="11"/>
        <v/>
      </c>
      <c r="AD78" t="s">
        <v>258</v>
      </c>
    </row>
    <row r="79" spans="10:30" x14ac:dyDescent="0.35">
      <c r="J79" s="1" t="str">
        <f t="shared" si="8"/>
        <v/>
      </c>
      <c r="O79" t="str">
        <f t="shared" si="9"/>
        <v/>
      </c>
      <c r="P79" t="str">
        <f t="shared" si="10"/>
        <v/>
      </c>
      <c r="W79" t="str">
        <f t="shared" si="11"/>
        <v/>
      </c>
      <c r="AD79" t="s">
        <v>259</v>
      </c>
    </row>
    <row r="80" spans="10:30" x14ac:dyDescent="0.35">
      <c r="J80" s="1" t="str">
        <f t="shared" si="8"/>
        <v/>
      </c>
      <c r="O80" t="str">
        <f t="shared" si="9"/>
        <v/>
      </c>
      <c r="P80" t="str">
        <f t="shared" si="10"/>
        <v/>
      </c>
      <c r="W80" t="str">
        <f t="shared" si="11"/>
        <v/>
      </c>
      <c r="AD80" t="s">
        <v>260</v>
      </c>
    </row>
    <row r="81" spans="10:30" x14ac:dyDescent="0.35">
      <c r="J81" s="1" t="str">
        <f t="shared" si="8"/>
        <v/>
      </c>
      <c r="O81" t="str">
        <f t="shared" si="9"/>
        <v/>
      </c>
      <c r="P81" t="str">
        <f t="shared" si="10"/>
        <v/>
      </c>
      <c r="W81" t="str">
        <f t="shared" si="11"/>
        <v/>
      </c>
      <c r="AD81" t="s">
        <v>261</v>
      </c>
    </row>
    <row r="82" spans="10:30" x14ac:dyDescent="0.35">
      <c r="J82" s="1" t="str">
        <f t="shared" si="8"/>
        <v/>
      </c>
      <c r="O82" t="str">
        <f t="shared" si="9"/>
        <v/>
      </c>
      <c r="P82" t="str">
        <f t="shared" si="10"/>
        <v/>
      </c>
      <c r="W82" t="str">
        <f t="shared" si="11"/>
        <v/>
      </c>
      <c r="AD82" t="s">
        <v>262</v>
      </c>
    </row>
    <row r="83" spans="10:30" x14ac:dyDescent="0.35">
      <c r="J83" s="1" t="str">
        <f t="shared" si="8"/>
        <v/>
      </c>
      <c r="O83" t="str">
        <f t="shared" si="9"/>
        <v/>
      </c>
      <c r="P83" t="str">
        <f t="shared" si="10"/>
        <v/>
      </c>
      <c r="W83" t="str">
        <f t="shared" si="11"/>
        <v/>
      </c>
      <c r="AD83" t="s">
        <v>263</v>
      </c>
    </row>
    <row r="84" spans="10:30" x14ac:dyDescent="0.35">
      <c r="J84" s="1" t="str">
        <f t="shared" si="8"/>
        <v/>
      </c>
      <c r="O84" t="str">
        <f t="shared" si="9"/>
        <v/>
      </c>
      <c r="P84" t="str">
        <f t="shared" si="10"/>
        <v/>
      </c>
      <c r="W84" t="str">
        <f t="shared" si="11"/>
        <v/>
      </c>
      <c r="AD84" t="s">
        <v>264</v>
      </c>
    </row>
    <row r="85" spans="10:30" x14ac:dyDescent="0.35">
      <c r="J85" s="1" t="str">
        <f t="shared" si="8"/>
        <v/>
      </c>
      <c r="O85" t="str">
        <f t="shared" si="9"/>
        <v/>
      </c>
      <c r="P85" t="str">
        <f t="shared" si="10"/>
        <v/>
      </c>
      <c r="W85" t="str">
        <f t="shared" si="11"/>
        <v/>
      </c>
      <c r="AD85" t="s">
        <v>265</v>
      </c>
    </row>
    <row r="86" spans="10:30" x14ac:dyDescent="0.35">
      <c r="J86" s="1" t="str">
        <f t="shared" si="8"/>
        <v/>
      </c>
      <c r="O86" t="str">
        <f t="shared" si="9"/>
        <v/>
      </c>
      <c r="P86" t="str">
        <f t="shared" si="10"/>
        <v/>
      </c>
      <c r="W86" t="str">
        <f t="shared" si="11"/>
        <v/>
      </c>
      <c r="AD86" t="s">
        <v>266</v>
      </c>
    </row>
    <row r="87" spans="10:30" x14ac:dyDescent="0.35">
      <c r="J87" s="1" t="str">
        <f t="shared" si="8"/>
        <v/>
      </c>
      <c r="O87" t="str">
        <f t="shared" si="9"/>
        <v/>
      </c>
      <c r="P87" t="str">
        <f t="shared" si="10"/>
        <v/>
      </c>
      <c r="W87" t="str">
        <f t="shared" si="11"/>
        <v/>
      </c>
      <c r="AD87" t="s">
        <v>267</v>
      </c>
    </row>
    <row r="88" spans="10:30" x14ac:dyDescent="0.35">
      <c r="J88" s="1" t="str">
        <f t="shared" si="8"/>
        <v/>
      </c>
      <c r="O88" t="str">
        <f t="shared" si="9"/>
        <v/>
      </c>
      <c r="P88" t="str">
        <f t="shared" si="10"/>
        <v/>
      </c>
      <c r="W88" t="str">
        <f t="shared" si="11"/>
        <v/>
      </c>
      <c r="AD88" t="s">
        <v>268</v>
      </c>
    </row>
    <row r="89" spans="10:30" x14ac:dyDescent="0.35">
      <c r="J89" s="1" t="str">
        <f t="shared" si="8"/>
        <v/>
      </c>
      <c r="O89" t="str">
        <f t="shared" si="9"/>
        <v/>
      </c>
      <c r="P89" t="str">
        <f t="shared" si="10"/>
        <v/>
      </c>
      <c r="W89" t="str">
        <f t="shared" si="11"/>
        <v/>
      </c>
      <c r="AD89" t="s">
        <v>269</v>
      </c>
    </row>
    <row r="90" spans="10:30" x14ac:dyDescent="0.35">
      <c r="J90" s="1" t="str">
        <f t="shared" si="8"/>
        <v/>
      </c>
      <c r="O90" t="str">
        <f t="shared" si="9"/>
        <v/>
      </c>
      <c r="P90" t="str">
        <f t="shared" si="10"/>
        <v/>
      </c>
      <c r="W90" t="str">
        <f t="shared" si="11"/>
        <v/>
      </c>
      <c r="AD90" t="s">
        <v>270</v>
      </c>
    </row>
    <row r="91" spans="10:30" x14ac:dyDescent="0.35">
      <c r="J91" s="1" t="str">
        <f t="shared" si="8"/>
        <v/>
      </c>
      <c r="O91" t="str">
        <f t="shared" si="9"/>
        <v/>
      </c>
      <c r="P91" t="str">
        <f t="shared" si="10"/>
        <v/>
      </c>
      <c r="W91" t="str">
        <f t="shared" si="11"/>
        <v/>
      </c>
      <c r="AD91" t="s">
        <v>271</v>
      </c>
    </row>
    <row r="92" spans="10:30" x14ac:dyDescent="0.35">
      <c r="J92" s="1" t="str">
        <f t="shared" si="8"/>
        <v/>
      </c>
      <c r="O92" t="str">
        <f t="shared" si="9"/>
        <v/>
      </c>
      <c r="P92" t="str">
        <f t="shared" si="10"/>
        <v/>
      </c>
      <c r="W92" t="str">
        <f t="shared" si="11"/>
        <v/>
      </c>
      <c r="AD92" t="s">
        <v>272</v>
      </c>
    </row>
    <row r="93" spans="10:30" x14ac:dyDescent="0.35">
      <c r="J93" s="1" t="str">
        <f t="shared" si="8"/>
        <v/>
      </c>
      <c r="O93" t="str">
        <f t="shared" si="9"/>
        <v/>
      </c>
      <c r="P93" t="str">
        <f t="shared" si="10"/>
        <v/>
      </c>
      <c r="W93" t="str">
        <f t="shared" si="11"/>
        <v/>
      </c>
      <c r="AD93" t="s">
        <v>273</v>
      </c>
    </row>
    <row r="94" spans="10:30" x14ac:dyDescent="0.35">
      <c r="J94" s="1" t="str">
        <f t="shared" si="8"/>
        <v/>
      </c>
      <c r="O94" t="str">
        <f t="shared" si="9"/>
        <v/>
      </c>
      <c r="P94" t="str">
        <f t="shared" si="10"/>
        <v/>
      </c>
      <c r="W94" t="str">
        <f t="shared" si="11"/>
        <v/>
      </c>
      <c r="AD94" t="s">
        <v>274</v>
      </c>
    </row>
    <row r="95" spans="10:30" x14ac:dyDescent="0.35">
      <c r="J95" s="1" t="str">
        <f t="shared" si="8"/>
        <v/>
      </c>
      <c r="O95" t="str">
        <f t="shared" si="9"/>
        <v/>
      </c>
      <c r="P95" t="str">
        <f t="shared" si="10"/>
        <v/>
      </c>
      <c r="W95" t="str">
        <f t="shared" si="11"/>
        <v/>
      </c>
      <c r="AD95" t="s">
        <v>275</v>
      </c>
    </row>
    <row r="96" spans="10:30" x14ac:dyDescent="0.35">
      <c r="J96" s="1" t="str">
        <f t="shared" si="8"/>
        <v/>
      </c>
      <c r="O96" t="str">
        <f t="shared" si="9"/>
        <v/>
      </c>
      <c r="P96" t="str">
        <f t="shared" si="10"/>
        <v/>
      </c>
      <c r="W96" t="str">
        <f t="shared" si="11"/>
        <v/>
      </c>
      <c r="AD96" t="s">
        <v>276</v>
      </c>
    </row>
    <row r="97" spans="1:30" x14ac:dyDescent="0.35">
      <c r="J97" s="1" t="str">
        <f t="shared" si="8"/>
        <v/>
      </c>
      <c r="O97" t="str">
        <f t="shared" si="9"/>
        <v/>
      </c>
      <c r="P97" t="str">
        <f t="shared" si="10"/>
        <v/>
      </c>
      <c r="W97" t="str">
        <f t="shared" si="11"/>
        <v/>
      </c>
      <c r="AD97" t="s">
        <v>277</v>
      </c>
    </row>
    <row r="98" spans="1:30" x14ac:dyDescent="0.35">
      <c r="J98" s="1" t="str">
        <f t="shared" si="8"/>
        <v/>
      </c>
      <c r="O98" t="str">
        <f t="shared" si="9"/>
        <v/>
      </c>
      <c r="P98" t="str">
        <f t="shared" si="10"/>
        <v/>
      </c>
      <c r="W98" t="str">
        <f t="shared" si="11"/>
        <v/>
      </c>
      <c r="AD98" t="s">
        <v>278</v>
      </c>
    </row>
    <row r="99" spans="1:30" x14ac:dyDescent="0.35">
      <c r="J99" s="1" t="str">
        <f t="shared" si="8"/>
        <v/>
      </c>
      <c r="O99" t="str">
        <f t="shared" si="9"/>
        <v/>
      </c>
      <c r="P99" t="str">
        <f t="shared" si="10"/>
        <v/>
      </c>
      <c r="W99" t="str">
        <f t="shared" si="11"/>
        <v/>
      </c>
      <c r="AD99" t="s">
        <v>279</v>
      </c>
    </row>
    <row r="100" spans="1:30" x14ac:dyDescent="0.35">
      <c r="J100" s="1" t="str">
        <f t="shared" si="8"/>
        <v/>
      </c>
      <c r="O100" t="str">
        <f t="shared" si="9"/>
        <v/>
      </c>
      <c r="P100" t="str">
        <f t="shared" si="10"/>
        <v/>
      </c>
      <c r="W100" t="str">
        <f t="shared" si="11"/>
        <v/>
      </c>
      <c r="AD100" t="s">
        <v>280</v>
      </c>
    </row>
    <row r="101" spans="1:30" x14ac:dyDescent="0.35">
      <c r="J101" s="1" t="str">
        <f t="shared" si="8"/>
        <v/>
      </c>
      <c r="O101" t="str">
        <f t="shared" si="9"/>
        <v/>
      </c>
      <c r="P101" t="str">
        <f t="shared" si="10"/>
        <v/>
      </c>
      <c r="W101" t="str">
        <f t="shared" si="11"/>
        <v/>
      </c>
      <c r="AD101" t="s">
        <v>281</v>
      </c>
    </row>
    <row r="102" spans="1:30" x14ac:dyDescent="0.35">
      <c r="A102" t="s">
        <v>282</v>
      </c>
      <c r="AD102" t="s">
        <v>283</v>
      </c>
    </row>
    <row r="103" spans="1:30" x14ac:dyDescent="0.35">
      <c r="AD103" t="s">
        <v>284</v>
      </c>
    </row>
    <row r="104" spans="1:30" x14ac:dyDescent="0.35">
      <c r="A104" s="4" t="s">
        <v>285</v>
      </c>
      <c r="AD104" t="s">
        <v>286</v>
      </c>
    </row>
    <row r="105" spans="1:30" x14ac:dyDescent="0.35">
      <c r="A105" s="5" t="s">
        <v>287</v>
      </c>
      <c r="AD105" t="s">
        <v>288</v>
      </c>
    </row>
    <row r="106" spans="1:30" x14ac:dyDescent="0.35">
      <c r="A106" s="5" t="s">
        <v>289</v>
      </c>
      <c r="AD106" t="s">
        <v>290</v>
      </c>
    </row>
    <row r="107" spans="1:30" x14ac:dyDescent="0.35">
      <c r="A107" s="5" t="s">
        <v>291</v>
      </c>
      <c r="AD107" t="s">
        <v>292</v>
      </c>
    </row>
    <row r="108" spans="1:30" x14ac:dyDescent="0.35">
      <c r="A108" s="5" t="s">
        <v>293</v>
      </c>
      <c r="AD108" t="s">
        <v>294</v>
      </c>
    </row>
    <row r="109" spans="1:30" x14ac:dyDescent="0.35">
      <c r="A109" s="5" t="s">
        <v>295</v>
      </c>
      <c r="AD109" t="s">
        <v>296</v>
      </c>
    </row>
    <row r="110" spans="1:30" x14ac:dyDescent="0.35">
      <c r="A110" s="5" t="s">
        <v>297</v>
      </c>
      <c r="AD110" t="s">
        <v>298</v>
      </c>
    </row>
    <row r="111" spans="1:30" x14ac:dyDescent="0.35">
      <c r="A111" s="5" t="s">
        <v>299</v>
      </c>
      <c r="AD111" t="s">
        <v>300</v>
      </c>
    </row>
    <row r="112" spans="1:30" x14ac:dyDescent="0.35">
      <c r="A112" s="5" t="s">
        <v>301</v>
      </c>
      <c r="AD112" t="s">
        <v>302</v>
      </c>
    </row>
    <row r="113" spans="1:30" x14ac:dyDescent="0.35">
      <c r="A113" s="5" t="s">
        <v>303</v>
      </c>
      <c r="AD113" t="s">
        <v>304</v>
      </c>
    </row>
    <row r="114" spans="1:30" x14ac:dyDescent="0.35">
      <c r="A114" s="5" t="s">
        <v>305</v>
      </c>
      <c r="AD114" t="s">
        <v>306</v>
      </c>
    </row>
    <row r="115" spans="1:30" x14ac:dyDescent="0.35">
      <c r="A115" s="5" t="s">
        <v>307</v>
      </c>
      <c r="AD115" t="s">
        <v>308</v>
      </c>
    </row>
    <row r="116" spans="1:30" x14ac:dyDescent="0.35">
      <c r="AD116" t="s">
        <v>309</v>
      </c>
    </row>
    <row r="117" spans="1:30" x14ac:dyDescent="0.35">
      <c r="AD117" t="s">
        <v>310</v>
      </c>
    </row>
    <row r="118" spans="1:30" x14ac:dyDescent="0.35">
      <c r="AD118" t="s">
        <v>311</v>
      </c>
    </row>
    <row r="119" spans="1:30" x14ac:dyDescent="0.35">
      <c r="AD119" t="s">
        <v>312</v>
      </c>
    </row>
    <row r="120" spans="1:30" x14ac:dyDescent="0.35">
      <c r="AD120" t="s">
        <v>313</v>
      </c>
    </row>
    <row r="121" spans="1:30" x14ac:dyDescent="0.35">
      <c r="AD121" t="s">
        <v>314</v>
      </c>
    </row>
    <row r="122" spans="1:30" x14ac:dyDescent="0.35">
      <c r="AD122" t="s">
        <v>315</v>
      </c>
    </row>
    <row r="123" spans="1:30" x14ac:dyDescent="0.35">
      <c r="AD123" t="s">
        <v>316</v>
      </c>
    </row>
    <row r="124" spans="1:30" x14ac:dyDescent="0.35">
      <c r="AD124" t="s">
        <v>317</v>
      </c>
    </row>
    <row r="125" spans="1:30" x14ac:dyDescent="0.35">
      <c r="AD125" t="s">
        <v>318</v>
      </c>
    </row>
    <row r="126" spans="1:30" x14ac:dyDescent="0.35">
      <c r="AD126" t="s">
        <v>319</v>
      </c>
    </row>
    <row r="127" spans="1:30" x14ac:dyDescent="0.35">
      <c r="AD127" t="s">
        <v>320</v>
      </c>
    </row>
    <row r="128" spans="1:30" x14ac:dyDescent="0.35">
      <c r="AD128" t="s">
        <v>321</v>
      </c>
    </row>
    <row r="129" spans="30:30" x14ac:dyDescent="0.35">
      <c r="AD129" t="s">
        <v>322</v>
      </c>
    </row>
    <row r="130" spans="30:30" x14ac:dyDescent="0.35">
      <c r="AD130" t="s">
        <v>323</v>
      </c>
    </row>
    <row r="131" spans="30:30" x14ac:dyDescent="0.35">
      <c r="AD131" t="s">
        <v>324</v>
      </c>
    </row>
    <row r="132" spans="30:30" x14ac:dyDescent="0.35">
      <c r="AD132" t="s">
        <v>325</v>
      </c>
    </row>
    <row r="133" spans="30:30" x14ac:dyDescent="0.35">
      <c r="AD133" t="s">
        <v>326</v>
      </c>
    </row>
    <row r="134" spans="30:30" x14ac:dyDescent="0.35">
      <c r="AD134" t="s">
        <v>327</v>
      </c>
    </row>
    <row r="135" spans="30:30" x14ac:dyDescent="0.35">
      <c r="AD135" t="s">
        <v>328</v>
      </c>
    </row>
    <row r="136" spans="30:30" x14ac:dyDescent="0.35">
      <c r="AD136" t="s">
        <v>329</v>
      </c>
    </row>
    <row r="137" spans="30:30" x14ac:dyDescent="0.35">
      <c r="AD137" t="s">
        <v>330</v>
      </c>
    </row>
    <row r="138" spans="30:30" x14ac:dyDescent="0.35">
      <c r="AD138" t="s">
        <v>331</v>
      </c>
    </row>
    <row r="139" spans="30:30" x14ac:dyDescent="0.35">
      <c r="AD139" t="s">
        <v>332</v>
      </c>
    </row>
    <row r="140" spans="30:30" x14ac:dyDescent="0.35">
      <c r="AD140" t="s">
        <v>333</v>
      </c>
    </row>
    <row r="141" spans="30:30" x14ac:dyDescent="0.35">
      <c r="AD141" t="s">
        <v>334</v>
      </c>
    </row>
    <row r="142" spans="30:30" x14ac:dyDescent="0.35">
      <c r="AD142" t="s">
        <v>335</v>
      </c>
    </row>
    <row r="143" spans="30:30" x14ac:dyDescent="0.35">
      <c r="AD143" t="s">
        <v>336</v>
      </c>
    </row>
    <row r="144" spans="30:30" x14ac:dyDescent="0.35">
      <c r="AD144" t="s">
        <v>337</v>
      </c>
    </row>
    <row r="145" spans="30:30" x14ac:dyDescent="0.35">
      <c r="AD145" t="s">
        <v>338</v>
      </c>
    </row>
    <row r="146" spans="30:30" x14ac:dyDescent="0.35">
      <c r="AD146" t="s">
        <v>339</v>
      </c>
    </row>
    <row r="147" spans="30:30" x14ac:dyDescent="0.35">
      <c r="AD147" t="s">
        <v>340</v>
      </c>
    </row>
    <row r="148" spans="30:30" x14ac:dyDescent="0.35">
      <c r="AD148" t="s">
        <v>341</v>
      </c>
    </row>
    <row r="149" spans="30:30" x14ac:dyDescent="0.35">
      <c r="AD149" t="s">
        <v>342</v>
      </c>
    </row>
    <row r="150" spans="30:30" x14ac:dyDescent="0.35">
      <c r="AD150" t="s">
        <v>343</v>
      </c>
    </row>
    <row r="151" spans="30:30" x14ac:dyDescent="0.35">
      <c r="AD151" t="s">
        <v>344</v>
      </c>
    </row>
    <row r="152" spans="30:30" x14ac:dyDescent="0.35">
      <c r="AD152" t="s">
        <v>345</v>
      </c>
    </row>
    <row r="153" spans="30:30" x14ac:dyDescent="0.35">
      <c r="AD153" t="s">
        <v>346</v>
      </c>
    </row>
    <row r="154" spans="30:30" x14ac:dyDescent="0.35">
      <c r="AD154" t="s">
        <v>347</v>
      </c>
    </row>
    <row r="155" spans="30:30" x14ac:dyDescent="0.35">
      <c r="AD155" t="s">
        <v>348</v>
      </c>
    </row>
    <row r="156" spans="30:30" x14ac:dyDescent="0.35">
      <c r="AD156" t="s">
        <v>349</v>
      </c>
    </row>
    <row r="157" spans="30:30" x14ac:dyDescent="0.35">
      <c r="AD157" t="s">
        <v>350</v>
      </c>
    </row>
    <row r="158" spans="30:30" x14ac:dyDescent="0.35">
      <c r="AD158" t="s">
        <v>351</v>
      </c>
    </row>
    <row r="159" spans="30:30" x14ac:dyDescent="0.35">
      <c r="AD159" t="s">
        <v>352</v>
      </c>
    </row>
    <row r="160" spans="30:30" x14ac:dyDescent="0.35">
      <c r="AD160" t="s">
        <v>353</v>
      </c>
    </row>
    <row r="161" spans="30:30" x14ac:dyDescent="0.35">
      <c r="AD161" t="s">
        <v>354</v>
      </c>
    </row>
    <row r="162" spans="30:30" x14ac:dyDescent="0.35">
      <c r="AD162" t="s">
        <v>355</v>
      </c>
    </row>
    <row r="163" spans="30:30" x14ac:dyDescent="0.35">
      <c r="AD163" t="s">
        <v>356</v>
      </c>
    </row>
    <row r="164" spans="30:30" x14ac:dyDescent="0.35">
      <c r="AD164" t="s">
        <v>357</v>
      </c>
    </row>
    <row r="165" spans="30:30" x14ac:dyDescent="0.35">
      <c r="AD165" t="s">
        <v>358</v>
      </c>
    </row>
    <row r="166" spans="30:30" x14ac:dyDescent="0.35">
      <c r="AD166" t="s">
        <v>359</v>
      </c>
    </row>
    <row r="167" spans="30:30" x14ac:dyDescent="0.35">
      <c r="AD167" t="s">
        <v>360</v>
      </c>
    </row>
    <row r="168" spans="30:30" x14ac:dyDescent="0.35">
      <c r="AD168" t="s">
        <v>361</v>
      </c>
    </row>
    <row r="169" spans="30:30" x14ac:dyDescent="0.35">
      <c r="AD169" t="s">
        <v>362</v>
      </c>
    </row>
    <row r="170" spans="30:30" x14ac:dyDescent="0.35">
      <c r="AD170" t="s">
        <v>363</v>
      </c>
    </row>
    <row r="171" spans="30:30" x14ac:dyDescent="0.35">
      <c r="AD171" t="s">
        <v>364</v>
      </c>
    </row>
    <row r="172" spans="30:30" x14ac:dyDescent="0.35">
      <c r="AD172" t="s">
        <v>365</v>
      </c>
    </row>
    <row r="173" spans="30:30" x14ac:dyDescent="0.35">
      <c r="AD173" t="s">
        <v>366</v>
      </c>
    </row>
    <row r="174" spans="30:30" x14ac:dyDescent="0.35">
      <c r="AD174" t="s">
        <v>367</v>
      </c>
    </row>
    <row r="175" spans="30:30" x14ac:dyDescent="0.35">
      <c r="AD175" t="s">
        <v>368</v>
      </c>
    </row>
    <row r="176" spans="30:30" x14ac:dyDescent="0.35">
      <c r="AD176" t="s">
        <v>369</v>
      </c>
    </row>
    <row r="177" spans="30:30" x14ac:dyDescent="0.35">
      <c r="AD177" t="s">
        <v>370</v>
      </c>
    </row>
    <row r="178" spans="30:30" x14ac:dyDescent="0.35">
      <c r="AD178" t="s">
        <v>371</v>
      </c>
    </row>
    <row r="179" spans="30:30" x14ac:dyDescent="0.35">
      <c r="AD179" t="s">
        <v>372</v>
      </c>
    </row>
    <row r="180" spans="30:30" x14ac:dyDescent="0.35">
      <c r="AD180" t="s">
        <v>373</v>
      </c>
    </row>
    <row r="181" spans="30:30" x14ac:dyDescent="0.35">
      <c r="AD181" t="s">
        <v>374</v>
      </c>
    </row>
    <row r="182" spans="30:30" x14ac:dyDescent="0.35">
      <c r="AD182" t="s">
        <v>375</v>
      </c>
    </row>
    <row r="183" spans="30:30" x14ac:dyDescent="0.35">
      <c r="AD183" t="s">
        <v>376</v>
      </c>
    </row>
    <row r="184" spans="30:30" x14ac:dyDescent="0.35">
      <c r="AD184" t="s">
        <v>377</v>
      </c>
    </row>
    <row r="185" spans="30:30" x14ac:dyDescent="0.35">
      <c r="AD185" t="s">
        <v>378</v>
      </c>
    </row>
    <row r="186" spans="30:30" x14ac:dyDescent="0.35">
      <c r="AD186" t="s">
        <v>379</v>
      </c>
    </row>
    <row r="187" spans="30:30" x14ac:dyDescent="0.35">
      <c r="AD187" t="s">
        <v>380</v>
      </c>
    </row>
    <row r="188" spans="30:30" x14ac:dyDescent="0.35">
      <c r="AD188" t="s">
        <v>381</v>
      </c>
    </row>
    <row r="189" spans="30:30" x14ac:dyDescent="0.35">
      <c r="AD189" t="s">
        <v>382</v>
      </c>
    </row>
    <row r="190" spans="30:30" x14ac:dyDescent="0.35">
      <c r="AD190" t="s">
        <v>383</v>
      </c>
    </row>
    <row r="191" spans="30:30" x14ac:dyDescent="0.35">
      <c r="AD191" t="s">
        <v>384</v>
      </c>
    </row>
    <row r="192" spans="30:30" x14ac:dyDescent="0.35">
      <c r="AD192" t="s">
        <v>385</v>
      </c>
    </row>
    <row r="193" spans="30:30" x14ac:dyDescent="0.35">
      <c r="AD193" t="s">
        <v>386</v>
      </c>
    </row>
    <row r="194" spans="30:30" x14ac:dyDescent="0.35">
      <c r="AD194" t="s">
        <v>387</v>
      </c>
    </row>
    <row r="195" spans="30:30" x14ac:dyDescent="0.35">
      <c r="AD195" t="s">
        <v>388</v>
      </c>
    </row>
    <row r="196" spans="30:30" x14ac:dyDescent="0.35">
      <c r="AD196" t="s">
        <v>389</v>
      </c>
    </row>
    <row r="197" spans="30:30" x14ac:dyDescent="0.35">
      <c r="AD197" t="s">
        <v>390</v>
      </c>
    </row>
    <row r="198" spans="30:30" x14ac:dyDescent="0.35">
      <c r="AD198" t="s">
        <v>391</v>
      </c>
    </row>
    <row r="199" spans="30:30" x14ac:dyDescent="0.35">
      <c r="AD199" t="s">
        <v>392</v>
      </c>
    </row>
    <row r="200" spans="30:30" x14ac:dyDescent="0.35">
      <c r="AD200" t="s">
        <v>393</v>
      </c>
    </row>
    <row r="201" spans="30:30" x14ac:dyDescent="0.35">
      <c r="AD201" t="s">
        <v>394</v>
      </c>
    </row>
    <row r="202" spans="30:30" x14ac:dyDescent="0.35">
      <c r="AD202" t="s">
        <v>395</v>
      </c>
    </row>
    <row r="203" spans="30:30" x14ac:dyDescent="0.35">
      <c r="AD203" t="s">
        <v>396</v>
      </c>
    </row>
    <row r="204" spans="30:30" x14ac:dyDescent="0.35">
      <c r="AD204" t="s">
        <v>397</v>
      </c>
    </row>
    <row r="205" spans="30:30" x14ac:dyDescent="0.35">
      <c r="AD205" t="s">
        <v>398</v>
      </c>
    </row>
    <row r="206" spans="30:30" x14ac:dyDescent="0.35">
      <c r="AD206" t="s">
        <v>399</v>
      </c>
    </row>
    <row r="207" spans="30:30" x14ac:dyDescent="0.35">
      <c r="AD207" t="s">
        <v>400</v>
      </c>
    </row>
    <row r="208" spans="30:30" x14ac:dyDescent="0.35">
      <c r="AD208" t="s">
        <v>401</v>
      </c>
    </row>
    <row r="209" spans="30:30" x14ac:dyDescent="0.35">
      <c r="AD209" t="s">
        <v>402</v>
      </c>
    </row>
    <row r="210" spans="30:30" x14ac:dyDescent="0.35">
      <c r="AD210" t="s">
        <v>403</v>
      </c>
    </row>
    <row r="211" spans="30:30" x14ac:dyDescent="0.35">
      <c r="AD211" t="s">
        <v>404</v>
      </c>
    </row>
    <row r="212" spans="30:30" x14ac:dyDescent="0.35">
      <c r="AD212" t="s">
        <v>405</v>
      </c>
    </row>
    <row r="213" spans="30:30" x14ac:dyDescent="0.35">
      <c r="AD213" t="s">
        <v>406</v>
      </c>
    </row>
    <row r="214" spans="30:30" x14ac:dyDescent="0.35">
      <c r="AD214" t="s">
        <v>407</v>
      </c>
    </row>
    <row r="215" spans="30:30" x14ac:dyDescent="0.35">
      <c r="AD215" t="s">
        <v>408</v>
      </c>
    </row>
    <row r="216" spans="30:30" x14ac:dyDescent="0.35">
      <c r="AD216" t="s">
        <v>409</v>
      </c>
    </row>
    <row r="217" spans="30:30" x14ac:dyDescent="0.35">
      <c r="AD217" t="s">
        <v>410</v>
      </c>
    </row>
    <row r="218" spans="30:30" x14ac:dyDescent="0.35">
      <c r="AD218" t="s">
        <v>411</v>
      </c>
    </row>
    <row r="219" spans="30:30" x14ac:dyDescent="0.35">
      <c r="AD219" t="s">
        <v>412</v>
      </c>
    </row>
    <row r="220" spans="30:30" x14ac:dyDescent="0.35">
      <c r="AD220" t="s">
        <v>413</v>
      </c>
    </row>
    <row r="221" spans="30:30" x14ac:dyDescent="0.35">
      <c r="AD221" t="s">
        <v>414</v>
      </c>
    </row>
    <row r="222" spans="30:30" x14ac:dyDescent="0.35">
      <c r="AD222" t="s">
        <v>415</v>
      </c>
    </row>
    <row r="223" spans="30:30" x14ac:dyDescent="0.35">
      <c r="AD223" t="s">
        <v>416</v>
      </c>
    </row>
    <row r="224" spans="30:30" x14ac:dyDescent="0.35">
      <c r="AD224" t="s">
        <v>417</v>
      </c>
    </row>
    <row r="225" spans="30:30" x14ac:dyDescent="0.35">
      <c r="AD225" t="s">
        <v>418</v>
      </c>
    </row>
    <row r="226" spans="30:30" x14ac:dyDescent="0.35">
      <c r="AD226" t="s">
        <v>419</v>
      </c>
    </row>
    <row r="227" spans="30:30" x14ac:dyDescent="0.35">
      <c r="AD227" t="s">
        <v>420</v>
      </c>
    </row>
    <row r="228" spans="30:30" x14ac:dyDescent="0.35">
      <c r="AD228" t="s">
        <v>421</v>
      </c>
    </row>
    <row r="229" spans="30:30" x14ac:dyDescent="0.35">
      <c r="AD229" t="s">
        <v>422</v>
      </c>
    </row>
    <row r="230" spans="30:30" x14ac:dyDescent="0.35">
      <c r="AD230" t="s">
        <v>423</v>
      </c>
    </row>
    <row r="231" spans="30:30" x14ac:dyDescent="0.35">
      <c r="AD231" t="s">
        <v>424</v>
      </c>
    </row>
    <row r="232" spans="30:30" x14ac:dyDescent="0.35">
      <c r="AD232" t="s">
        <v>425</v>
      </c>
    </row>
    <row r="233" spans="30:30" x14ac:dyDescent="0.35">
      <c r="AD233" t="s">
        <v>426</v>
      </c>
    </row>
    <row r="234" spans="30:30" x14ac:dyDescent="0.35">
      <c r="AD234" t="s">
        <v>427</v>
      </c>
    </row>
    <row r="235" spans="30:30" x14ac:dyDescent="0.35">
      <c r="AD235" t="s">
        <v>428</v>
      </c>
    </row>
    <row r="236" spans="30:30" x14ac:dyDescent="0.35">
      <c r="AD236" t="s">
        <v>429</v>
      </c>
    </row>
    <row r="237" spans="30:30" x14ac:dyDescent="0.35">
      <c r="AD237" t="s">
        <v>430</v>
      </c>
    </row>
    <row r="238" spans="30:30" x14ac:dyDescent="0.35">
      <c r="AD238" t="s">
        <v>431</v>
      </c>
    </row>
    <row r="239" spans="30:30" x14ac:dyDescent="0.35">
      <c r="AD239" t="s">
        <v>432</v>
      </c>
    </row>
    <row r="240" spans="30:30" x14ac:dyDescent="0.35">
      <c r="AD240" t="s">
        <v>433</v>
      </c>
    </row>
    <row r="241" spans="30:30" x14ac:dyDescent="0.35">
      <c r="AD241" t="s">
        <v>434</v>
      </c>
    </row>
    <row r="242" spans="30:30" x14ac:dyDescent="0.35">
      <c r="AD242" t="s">
        <v>435</v>
      </c>
    </row>
    <row r="243" spans="30:30" x14ac:dyDescent="0.35">
      <c r="AD243" t="s">
        <v>436</v>
      </c>
    </row>
    <row r="244" spans="30:30" x14ac:dyDescent="0.35">
      <c r="AD244" t="s">
        <v>437</v>
      </c>
    </row>
    <row r="245" spans="30:30" x14ac:dyDescent="0.35">
      <c r="AD245" t="s">
        <v>438</v>
      </c>
    </row>
    <row r="246" spans="30:30" x14ac:dyDescent="0.35">
      <c r="AD246" t="s">
        <v>439</v>
      </c>
    </row>
    <row r="247" spans="30:30" x14ac:dyDescent="0.35">
      <c r="AD247" t="s">
        <v>440</v>
      </c>
    </row>
    <row r="248" spans="30:30" x14ac:dyDescent="0.35">
      <c r="AD248" t="s">
        <v>441</v>
      </c>
    </row>
    <row r="249" spans="30:30" x14ac:dyDescent="0.35">
      <c r="AD249" t="s">
        <v>442</v>
      </c>
    </row>
    <row r="250" spans="30:30" x14ac:dyDescent="0.35">
      <c r="AD250" t="s">
        <v>443</v>
      </c>
    </row>
    <row r="251" spans="30:30" x14ac:dyDescent="0.35">
      <c r="AD251" t="s">
        <v>444</v>
      </c>
    </row>
    <row r="252" spans="30:30" x14ac:dyDescent="0.35">
      <c r="AD252" t="s">
        <v>445</v>
      </c>
    </row>
    <row r="253" spans="30:30" x14ac:dyDescent="0.35">
      <c r="AD253" t="s">
        <v>446</v>
      </c>
    </row>
    <row r="254" spans="30:30" x14ac:dyDescent="0.35">
      <c r="AD254" t="s">
        <v>447</v>
      </c>
    </row>
    <row r="255" spans="30:30" x14ac:dyDescent="0.35">
      <c r="AD255" t="s">
        <v>448</v>
      </c>
    </row>
    <row r="256" spans="30:30" x14ac:dyDescent="0.35">
      <c r="AD256" t="s">
        <v>449</v>
      </c>
    </row>
    <row r="257" spans="30:30" x14ac:dyDescent="0.35">
      <c r="AD257" t="s">
        <v>450</v>
      </c>
    </row>
    <row r="258" spans="30:30" x14ac:dyDescent="0.35">
      <c r="AD258" t="s">
        <v>451</v>
      </c>
    </row>
    <row r="259" spans="30:30" x14ac:dyDescent="0.35">
      <c r="AD259" t="s">
        <v>452</v>
      </c>
    </row>
    <row r="260" spans="30:30" x14ac:dyDescent="0.35">
      <c r="AD260" t="s">
        <v>453</v>
      </c>
    </row>
    <row r="261" spans="30:30" x14ac:dyDescent="0.35">
      <c r="AD261" t="s">
        <v>454</v>
      </c>
    </row>
    <row r="262" spans="30:30" x14ac:dyDescent="0.35">
      <c r="AD262" t="s">
        <v>455</v>
      </c>
    </row>
    <row r="263" spans="30:30" x14ac:dyDescent="0.35">
      <c r="AD263" t="s">
        <v>456</v>
      </c>
    </row>
    <row r="264" spans="30:30" x14ac:dyDescent="0.35">
      <c r="AD264" t="s">
        <v>457</v>
      </c>
    </row>
    <row r="265" spans="30:30" x14ac:dyDescent="0.35">
      <c r="AD265" t="s">
        <v>458</v>
      </c>
    </row>
    <row r="266" spans="30:30" x14ac:dyDescent="0.35">
      <c r="AD266" t="s">
        <v>459</v>
      </c>
    </row>
    <row r="267" spans="30:30" x14ac:dyDescent="0.35">
      <c r="AD267" t="s">
        <v>460</v>
      </c>
    </row>
    <row r="268" spans="30:30" x14ac:dyDescent="0.35">
      <c r="AD268" t="s">
        <v>461</v>
      </c>
    </row>
    <row r="269" spans="30:30" x14ac:dyDescent="0.35">
      <c r="AD269" t="s">
        <v>462</v>
      </c>
    </row>
    <row r="270" spans="30:30" x14ac:dyDescent="0.35">
      <c r="AD270" t="s">
        <v>463</v>
      </c>
    </row>
    <row r="271" spans="30:30" x14ac:dyDescent="0.35">
      <c r="AD271" t="s">
        <v>464</v>
      </c>
    </row>
    <row r="272" spans="30:30" x14ac:dyDescent="0.35">
      <c r="AD272" t="s">
        <v>465</v>
      </c>
    </row>
    <row r="273" spans="30:30" x14ac:dyDescent="0.35">
      <c r="AD273" t="s">
        <v>466</v>
      </c>
    </row>
    <row r="274" spans="30:30" x14ac:dyDescent="0.35">
      <c r="AD274" t="s">
        <v>467</v>
      </c>
    </row>
    <row r="275" spans="30:30" x14ac:dyDescent="0.35">
      <c r="AD275" t="s">
        <v>468</v>
      </c>
    </row>
    <row r="276" spans="30:30" x14ac:dyDescent="0.35">
      <c r="AD276" t="s">
        <v>469</v>
      </c>
    </row>
    <row r="277" spans="30:30" x14ac:dyDescent="0.35">
      <c r="AD277" t="s">
        <v>470</v>
      </c>
    </row>
    <row r="278" spans="30:30" x14ac:dyDescent="0.35">
      <c r="AD278" t="s">
        <v>471</v>
      </c>
    </row>
    <row r="279" spans="30:30" x14ac:dyDescent="0.35">
      <c r="AD279" t="s">
        <v>472</v>
      </c>
    </row>
    <row r="280" spans="30:30" x14ac:dyDescent="0.35">
      <c r="AD280" t="s">
        <v>473</v>
      </c>
    </row>
    <row r="281" spans="30:30" x14ac:dyDescent="0.35">
      <c r="AD281" t="s">
        <v>474</v>
      </c>
    </row>
    <row r="282" spans="30:30" x14ac:dyDescent="0.35">
      <c r="AD282" t="s">
        <v>475</v>
      </c>
    </row>
    <row r="283" spans="30:30" x14ac:dyDescent="0.35">
      <c r="AD283" t="s">
        <v>476</v>
      </c>
    </row>
    <row r="284" spans="30:30" x14ac:dyDescent="0.35">
      <c r="AD284" t="s">
        <v>477</v>
      </c>
    </row>
    <row r="285" spans="30:30" x14ac:dyDescent="0.35">
      <c r="AD285" t="s">
        <v>478</v>
      </c>
    </row>
    <row r="286" spans="30:30" x14ac:dyDescent="0.35">
      <c r="AD286" t="s">
        <v>479</v>
      </c>
    </row>
    <row r="287" spans="30:30" x14ac:dyDescent="0.35">
      <c r="AD287" t="s">
        <v>480</v>
      </c>
    </row>
    <row r="288" spans="30:30" x14ac:dyDescent="0.35">
      <c r="AD288" t="s">
        <v>481</v>
      </c>
    </row>
    <row r="289" spans="30:30" x14ac:dyDescent="0.35">
      <c r="AD289" t="s">
        <v>482</v>
      </c>
    </row>
    <row r="290" spans="30:30" x14ac:dyDescent="0.35">
      <c r="AD290" t="s">
        <v>483</v>
      </c>
    </row>
    <row r="291" spans="30:30" x14ac:dyDescent="0.35">
      <c r="AD291" t="s">
        <v>484</v>
      </c>
    </row>
    <row r="292" spans="30:30" x14ac:dyDescent="0.35">
      <c r="AD292" t="s">
        <v>485</v>
      </c>
    </row>
    <row r="293" spans="30:30" x14ac:dyDescent="0.35">
      <c r="AD293" t="s">
        <v>486</v>
      </c>
    </row>
    <row r="294" spans="30:30" x14ac:dyDescent="0.35">
      <c r="AD294" t="s">
        <v>487</v>
      </c>
    </row>
    <row r="295" spans="30:30" x14ac:dyDescent="0.35">
      <c r="AD295" t="s">
        <v>488</v>
      </c>
    </row>
    <row r="296" spans="30:30" x14ac:dyDescent="0.35">
      <c r="AD296" t="s">
        <v>489</v>
      </c>
    </row>
    <row r="297" spans="30:30" x14ac:dyDescent="0.35">
      <c r="AD297" t="s">
        <v>490</v>
      </c>
    </row>
    <row r="298" spans="30:30" x14ac:dyDescent="0.35">
      <c r="AD298" t="s">
        <v>491</v>
      </c>
    </row>
    <row r="299" spans="30:30" x14ac:dyDescent="0.35">
      <c r="AD299" t="s">
        <v>492</v>
      </c>
    </row>
    <row r="300" spans="30:30" x14ac:dyDescent="0.35">
      <c r="AD300" t="s">
        <v>493</v>
      </c>
    </row>
    <row r="301" spans="30:30" x14ac:dyDescent="0.35">
      <c r="AD301" t="s">
        <v>494</v>
      </c>
    </row>
    <row r="302" spans="30:30" x14ac:dyDescent="0.35">
      <c r="AD302" t="s">
        <v>495</v>
      </c>
    </row>
    <row r="303" spans="30:30" x14ac:dyDescent="0.35">
      <c r="AD303" t="s">
        <v>496</v>
      </c>
    </row>
    <row r="304" spans="30:30" x14ac:dyDescent="0.35">
      <c r="AD304" t="s">
        <v>497</v>
      </c>
    </row>
    <row r="305" spans="30:30" x14ac:dyDescent="0.35">
      <c r="AD305" t="s">
        <v>498</v>
      </c>
    </row>
    <row r="306" spans="30:30" x14ac:dyDescent="0.35">
      <c r="AD306" t="s">
        <v>499</v>
      </c>
    </row>
    <row r="307" spans="30:30" x14ac:dyDescent="0.35">
      <c r="AD307" t="s">
        <v>500</v>
      </c>
    </row>
    <row r="308" spans="30:30" x14ac:dyDescent="0.35">
      <c r="AD308" t="s">
        <v>501</v>
      </c>
    </row>
    <row r="309" spans="30:30" x14ac:dyDescent="0.35">
      <c r="AD309" t="s">
        <v>502</v>
      </c>
    </row>
    <row r="310" spans="30:30" x14ac:dyDescent="0.35">
      <c r="AD310" t="s">
        <v>503</v>
      </c>
    </row>
    <row r="311" spans="30:30" x14ac:dyDescent="0.35">
      <c r="AD311" t="s">
        <v>504</v>
      </c>
    </row>
    <row r="312" spans="30:30" x14ac:dyDescent="0.35">
      <c r="AD312" t="s">
        <v>505</v>
      </c>
    </row>
    <row r="313" spans="30:30" x14ac:dyDescent="0.35">
      <c r="AD313" t="s">
        <v>506</v>
      </c>
    </row>
    <row r="314" spans="30:30" x14ac:dyDescent="0.35">
      <c r="AD314" t="s">
        <v>507</v>
      </c>
    </row>
    <row r="315" spans="30:30" x14ac:dyDescent="0.35">
      <c r="AD315" t="s">
        <v>508</v>
      </c>
    </row>
    <row r="316" spans="30:30" x14ac:dyDescent="0.35">
      <c r="AD316" t="s">
        <v>509</v>
      </c>
    </row>
    <row r="317" spans="30:30" x14ac:dyDescent="0.35">
      <c r="AD317" t="s">
        <v>510</v>
      </c>
    </row>
    <row r="318" spans="30:30" x14ac:dyDescent="0.35">
      <c r="AD318" t="s">
        <v>511</v>
      </c>
    </row>
    <row r="319" spans="30:30" x14ac:dyDescent="0.35">
      <c r="AD319" t="s">
        <v>512</v>
      </c>
    </row>
    <row r="320" spans="30:30" x14ac:dyDescent="0.35">
      <c r="AD320" t="s">
        <v>513</v>
      </c>
    </row>
    <row r="321" spans="30:30" x14ac:dyDescent="0.35">
      <c r="AD321" t="s">
        <v>514</v>
      </c>
    </row>
    <row r="322" spans="30:30" x14ac:dyDescent="0.35">
      <c r="AD322" t="s">
        <v>515</v>
      </c>
    </row>
    <row r="323" spans="30:30" x14ac:dyDescent="0.35">
      <c r="AD323" t="s">
        <v>516</v>
      </c>
    </row>
    <row r="324" spans="30:30" x14ac:dyDescent="0.35">
      <c r="AD324" t="s">
        <v>517</v>
      </c>
    </row>
    <row r="325" spans="30:30" x14ac:dyDescent="0.35">
      <c r="AD325" t="s">
        <v>518</v>
      </c>
    </row>
    <row r="326" spans="30:30" x14ac:dyDescent="0.35">
      <c r="AD326" t="s">
        <v>519</v>
      </c>
    </row>
    <row r="327" spans="30:30" x14ac:dyDescent="0.35">
      <c r="AD327" t="s">
        <v>520</v>
      </c>
    </row>
    <row r="328" spans="30:30" x14ac:dyDescent="0.35">
      <c r="AD328" t="s">
        <v>521</v>
      </c>
    </row>
    <row r="329" spans="30:30" x14ac:dyDescent="0.35">
      <c r="AD329" t="s">
        <v>522</v>
      </c>
    </row>
    <row r="330" spans="30:30" x14ac:dyDescent="0.35">
      <c r="AD330" t="s">
        <v>523</v>
      </c>
    </row>
    <row r="331" spans="30:30" x14ac:dyDescent="0.35">
      <c r="AD331" t="s">
        <v>524</v>
      </c>
    </row>
    <row r="332" spans="30:30" x14ac:dyDescent="0.35">
      <c r="AD332" t="s">
        <v>525</v>
      </c>
    </row>
    <row r="333" spans="30:30" x14ac:dyDescent="0.35">
      <c r="AD333" t="s">
        <v>526</v>
      </c>
    </row>
    <row r="334" spans="30:30" x14ac:dyDescent="0.35">
      <c r="AD334" t="s">
        <v>527</v>
      </c>
    </row>
    <row r="335" spans="30:30" x14ac:dyDescent="0.35">
      <c r="AD335" t="s">
        <v>528</v>
      </c>
    </row>
    <row r="336" spans="30:30" x14ac:dyDescent="0.35">
      <c r="AD336" t="s">
        <v>529</v>
      </c>
    </row>
    <row r="337" spans="30:30" x14ac:dyDescent="0.35">
      <c r="AD337" t="s">
        <v>530</v>
      </c>
    </row>
    <row r="338" spans="30:30" x14ac:dyDescent="0.35">
      <c r="AD338" t="s">
        <v>531</v>
      </c>
    </row>
    <row r="339" spans="30:30" x14ac:dyDescent="0.35">
      <c r="AD339" t="s">
        <v>532</v>
      </c>
    </row>
    <row r="340" spans="30:30" x14ac:dyDescent="0.35">
      <c r="AD340" t="s">
        <v>533</v>
      </c>
    </row>
    <row r="341" spans="30:30" x14ac:dyDescent="0.35">
      <c r="AD341" t="s">
        <v>534</v>
      </c>
    </row>
    <row r="342" spans="30:30" x14ac:dyDescent="0.35">
      <c r="AD342" t="s">
        <v>535</v>
      </c>
    </row>
    <row r="343" spans="30:30" x14ac:dyDescent="0.35">
      <c r="AD343" t="s">
        <v>536</v>
      </c>
    </row>
    <row r="344" spans="30:30" x14ac:dyDescent="0.35">
      <c r="AD344" t="s">
        <v>537</v>
      </c>
    </row>
    <row r="345" spans="30:30" x14ac:dyDescent="0.35">
      <c r="AD345" t="s">
        <v>538</v>
      </c>
    </row>
    <row r="346" spans="30:30" x14ac:dyDescent="0.35">
      <c r="AD346" t="s">
        <v>539</v>
      </c>
    </row>
    <row r="347" spans="30:30" x14ac:dyDescent="0.35">
      <c r="AD347" t="s">
        <v>540</v>
      </c>
    </row>
    <row r="348" spans="30:30" x14ac:dyDescent="0.35">
      <c r="AD348" t="s">
        <v>541</v>
      </c>
    </row>
    <row r="349" spans="30:30" x14ac:dyDescent="0.35">
      <c r="AD349" t="s">
        <v>542</v>
      </c>
    </row>
    <row r="350" spans="30:30" x14ac:dyDescent="0.35">
      <c r="AD350" t="s">
        <v>543</v>
      </c>
    </row>
    <row r="351" spans="30:30" x14ac:dyDescent="0.35">
      <c r="AD351" t="s">
        <v>544</v>
      </c>
    </row>
    <row r="352" spans="30:30" x14ac:dyDescent="0.35">
      <c r="AD352" t="s">
        <v>545</v>
      </c>
    </row>
    <row r="353" spans="30:30" x14ac:dyDescent="0.35">
      <c r="AD353" t="s">
        <v>546</v>
      </c>
    </row>
    <row r="354" spans="30:30" x14ac:dyDescent="0.35">
      <c r="AD354" t="s">
        <v>547</v>
      </c>
    </row>
    <row r="355" spans="30:30" x14ac:dyDescent="0.35">
      <c r="AD355" t="s">
        <v>548</v>
      </c>
    </row>
    <row r="356" spans="30:30" x14ac:dyDescent="0.35">
      <c r="AD356" t="s">
        <v>549</v>
      </c>
    </row>
    <row r="357" spans="30:30" x14ac:dyDescent="0.35">
      <c r="AD357" t="s">
        <v>550</v>
      </c>
    </row>
    <row r="358" spans="30:30" x14ac:dyDescent="0.35">
      <c r="AD358" t="s">
        <v>551</v>
      </c>
    </row>
    <row r="359" spans="30:30" x14ac:dyDescent="0.35">
      <c r="AD359" t="s">
        <v>552</v>
      </c>
    </row>
    <row r="360" spans="30:30" x14ac:dyDescent="0.35">
      <c r="AD360" t="s">
        <v>553</v>
      </c>
    </row>
    <row r="361" spans="30:30" x14ac:dyDescent="0.35">
      <c r="AD361" t="s">
        <v>554</v>
      </c>
    </row>
    <row r="362" spans="30:30" x14ac:dyDescent="0.35">
      <c r="AD362" t="s">
        <v>555</v>
      </c>
    </row>
    <row r="363" spans="30:30" x14ac:dyDescent="0.35">
      <c r="AD363" t="s">
        <v>556</v>
      </c>
    </row>
    <row r="364" spans="30:30" x14ac:dyDescent="0.35">
      <c r="AD364" t="s">
        <v>557</v>
      </c>
    </row>
    <row r="365" spans="30:30" x14ac:dyDescent="0.35">
      <c r="AD365" t="s">
        <v>558</v>
      </c>
    </row>
    <row r="366" spans="30:30" x14ac:dyDescent="0.35">
      <c r="AD366" t="s">
        <v>559</v>
      </c>
    </row>
    <row r="367" spans="30:30" x14ac:dyDescent="0.35">
      <c r="AD367" t="s">
        <v>560</v>
      </c>
    </row>
    <row r="368" spans="30:30" x14ac:dyDescent="0.35">
      <c r="AD368" t="s">
        <v>561</v>
      </c>
    </row>
    <row r="369" spans="30:30" x14ac:dyDescent="0.35">
      <c r="AD369" t="s">
        <v>562</v>
      </c>
    </row>
    <row r="370" spans="30:30" x14ac:dyDescent="0.35">
      <c r="AD370" t="s">
        <v>563</v>
      </c>
    </row>
    <row r="371" spans="30:30" x14ac:dyDescent="0.35">
      <c r="AD371" t="s">
        <v>564</v>
      </c>
    </row>
    <row r="372" spans="30:30" x14ac:dyDescent="0.35">
      <c r="AD372" t="s">
        <v>565</v>
      </c>
    </row>
    <row r="373" spans="30:30" x14ac:dyDescent="0.35">
      <c r="AD373" t="s">
        <v>566</v>
      </c>
    </row>
    <row r="374" spans="30:30" x14ac:dyDescent="0.35">
      <c r="AD374" t="s">
        <v>567</v>
      </c>
    </row>
    <row r="375" spans="30:30" x14ac:dyDescent="0.35">
      <c r="AD375" t="s">
        <v>568</v>
      </c>
    </row>
    <row r="376" spans="30:30" x14ac:dyDescent="0.35">
      <c r="AD376" t="s">
        <v>569</v>
      </c>
    </row>
    <row r="377" spans="30:30" x14ac:dyDescent="0.35">
      <c r="AD377" t="s">
        <v>570</v>
      </c>
    </row>
    <row r="378" spans="30:30" x14ac:dyDescent="0.35">
      <c r="AD378" t="s">
        <v>571</v>
      </c>
    </row>
    <row r="379" spans="30:30" x14ac:dyDescent="0.35">
      <c r="AD379" t="s">
        <v>572</v>
      </c>
    </row>
    <row r="380" spans="30:30" x14ac:dyDescent="0.35">
      <c r="AD380" t="s">
        <v>573</v>
      </c>
    </row>
    <row r="381" spans="30:30" x14ac:dyDescent="0.35">
      <c r="AD381" t="s">
        <v>574</v>
      </c>
    </row>
    <row r="382" spans="30:30" x14ac:dyDescent="0.35">
      <c r="AD382" t="s">
        <v>575</v>
      </c>
    </row>
    <row r="383" spans="30:30" x14ac:dyDescent="0.35">
      <c r="AD383" t="s">
        <v>576</v>
      </c>
    </row>
    <row r="384" spans="30:30" x14ac:dyDescent="0.35">
      <c r="AD384" t="s">
        <v>577</v>
      </c>
    </row>
    <row r="385" spans="30:30" x14ac:dyDescent="0.35">
      <c r="AD385" t="s">
        <v>578</v>
      </c>
    </row>
    <row r="386" spans="30:30" x14ac:dyDescent="0.35">
      <c r="AD386" t="s">
        <v>579</v>
      </c>
    </row>
    <row r="387" spans="30:30" x14ac:dyDescent="0.35">
      <c r="AD387" t="s">
        <v>580</v>
      </c>
    </row>
    <row r="388" spans="30:30" x14ac:dyDescent="0.35">
      <c r="AD388" t="s">
        <v>581</v>
      </c>
    </row>
    <row r="389" spans="30:30" x14ac:dyDescent="0.35">
      <c r="AD389" t="s">
        <v>582</v>
      </c>
    </row>
    <row r="390" spans="30:30" x14ac:dyDescent="0.35">
      <c r="AD390" t="s">
        <v>583</v>
      </c>
    </row>
    <row r="391" spans="30:30" x14ac:dyDescent="0.35">
      <c r="AD391" t="s">
        <v>584</v>
      </c>
    </row>
    <row r="392" spans="30:30" x14ac:dyDescent="0.35">
      <c r="AD392" t="s">
        <v>585</v>
      </c>
    </row>
    <row r="393" spans="30:30" x14ac:dyDescent="0.35">
      <c r="AD393" t="s">
        <v>586</v>
      </c>
    </row>
    <row r="394" spans="30:30" x14ac:dyDescent="0.35">
      <c r="AD394" t="s">
        <v>587</v>
      </c>
    </row>
    <row r="395" spans="30:30" x14ac:dyDescent="0.35">
      <c r="AD395" t="s">
        <v>588</v>
      </c>
    </row>
    <row r="396" spans="30:30" x14ac:dyDescent="0.35">
      <c r="AD396" t="s">
        <v>589</v>
      </c>
    </row>
    <row r="397" spans="30:30" x14ac:dyDescent="0.35">
      <c r="AD397" t="s">
        <v>590</v>
      </c>
    </row>
    <row r="398" spans="30:30" x14ac:dyDescent="0.35">
      <c r="AD398" t="s">
        <v>591</v>
      </c>
    </row>
    <row r="399" spans="30:30" x14ac:dyDescent="0.35">
      <c r="AD399" t="s">
        <v>592</v>
      </c>
    </row>
    <row r="400" spans="30:30" x14ac:dyDescent="0.35">
      <c r="AD400" t="s">
        <v>593</v>
      </c>
    </row>
    <row r="401" spans="30:30" x14ac:dyDescent="0.35">
      <c r="AD401" t="s">
        <v>594</v>
      </c>
    </row>
    <row r="402" spans="30:30" x14ac:dyDescent="0.35">
      <c r="AD402" t="s">
        <v>595</v>
      </c>
    </row>
    <row r="403" spans="30:30" x14ac:dyDescent="0.35">
      <c r="AD403" t="s">
        <v>596</v>
      </c>
    </row>
    <row r="404" spans="30:30" x14ac:dyDescent="0.35">
      <c r="AD404" t="s">
        <v>597</v>
      </c>
    </row>
    <row r="405" spans="30:30" x14ac:dyDescent="0.35">
      <c r="AD405" t="s">
        <v>598</v>
      </c>
    </row>
    <row r="406" spans="30:30" x14ac:dyDescent="0.35">
      <c r="AD406" t="s">
        <v>599</v>
      </c>
    </row>
    <row r="407" spans="30:30" x14ac:dyDescent="0.35">
      <c r="AD407" t="s">
        <v>600</v>
      </c>
    </row>
    <row r="408" spans="30:30" x14ac:dyDescent="0.35">
      <c r="AD408" t="s">
        <v>601</v>
      </c>
    </row>
    <row r="409" spans="30:30" x14ac:dyDescent="0.35">
      <c r="AD409" t="s">
        <v>602</v>
      </c>
    </row>
    <row r="410" spans="30:30" x14ac:dyDescent="0.35">
      <c r="AD410" t="s">
        <v>603</v>
      </c>
    </row>
    <row r="411" spans="30:30" x14ac:dyDescent="0.35">
      <c r="AD411" t="s">
        <v>604</v>
      </c>
    </row>
    <row r="412" spans="30:30" x14ac:dyDescent="0.35">
      <c r="AD412" t="s">
        <v>605</v>
      </c>
    </row>
    <row r="413" spans="30:30" x14ac:dyDescent="0.35">
      <c r="AD413" t="s">
        <v>606</v>
      </c>
    </row>
    <row r="414" spans="30:30" x14ac:dyDescent="0.35">
      <c r="AD414" t="s">
        <v>607</v>
      </c>
    </row>
    <row r="415" spans="30:30" x14ac:dyDescent="0.35">
      <c r="AD415" t="s">
        <v>608</v>
      </c>
    </row>
    <row r="416" spans="30:30" x14ac:dyDescent="0.35">
      <c r="AD416" t="s">
        <v>609</v>
      </c>
    </row>
    <row r="417" spans="30:30" x14ac:dyDescent="0.35">
      <c r="AD417" t="s">
        <v>610</v>
      </c>
    </row>
    <row r="418" spans="30:30" x14ac:dyDescent="0.35">
      <c r="AD418" t="s">
        <v>611</v>
      </c>
    </row>
    <row r="419" spans="30:30" x14ac:dyDescent="0.35">
      <c r="AD419" t="s">
        <v>612</v>
      </c>
    </row>
    <row r="420" spans="30:30" x14ac:dyDescent="0.35">
      <c r="AD420" t="s">
        <v>613</v>
      </c>
    </row>
    <row r="421" spans="30:30" x14ac:dyDescent="0.35">
      <c r="AD421" t="s">
        <v>614</v>
      </c>
    </row>
    <row r="422" spans="30:30" x14ac:dyDescent="0.35">
      <c r="AD422" t="s">
        <v>615</v>
      </c>
    </row>
    <row r="423" spans="30:30" x14ac:dyDescent="0.35">
      <c r="AD423" t="s">
        <v>616</v>
      </c>
    </row>
    <row r="424" spans="30:30" x14ac:dyDescent="0.35">
      <c r="AD424" t="s">
        <v>617</v>
      </c>
    </row>
    <row r="425" spans="30:30" x14ac:dyDescent="0.35">
      <c r="AD425" t="s">
        <v>618</v>
      </c>
    </row>
    <row r="426" spans="30:30" x14ac:dyDescent="0.35">
      <c r="AD426" t="s">
        <v>619</v>
      </c>
    </row>
    <row r="427" spans="30:30" x14ac:dyDescent="0.35">
      <c r="AD427" t="s">
        <v>620</v>
      </c>
    </row>
    <row r="428" spans="30:30" x14ac:dyDescent="0.35">
      <c r="AD428" t="s">
        <v>621</v>
      </c>
    </row>
    <row r="429" spans="30:30" x14ac:dyDescent="0.35">
      <c r="AD429" t="s">
        <v>622</v>
      </c>
    </row>
    <row r="430" spans="30:30" x14ac:dyDescent="0.35">
      <c r="AD430" t="s">
        <v>623</v>
      </c>
    </row>
    <row r="431" spans="30:30" x14ac:dyDescent="0.35">
      <c r="AD431" t="s">
        <v>624</v>
      </c>
    </row>
    <row r="432" spans="30:30" x14ac:dyDescent="0.35">
      <c r="AD432" t="s">
        <v>625</v>
      </c>
    </row>
    <row r="433" spans="30:30" x14ac:dyDescent="0.35">
      <c r="AD433" t="s">
        <v>626</v>
      </c>
    </row>
    <row r="434" spans="30:30" x14ac:dyDescent="0.35">
      <c r="AD434" t="s">
        <v>627</v>
      </c>
    </row>
    <row r="435" spans="30:30" x14ac:dyDescent="0.35">
      <c r="AD435" t="s">
        <v>628</v>
      </c>
    </row>
    <row r="436" spans="30:30" x14ac:dyDescent="0.35">
      <c r="AD436" t="s">
        <v>629</v>
      </c>
    </row>
    <row r="437" spans="30:30" x14ac:dyDescent="0.35">
      <c r="AD437" t="s">
        <v>630</v>
      </c>
    </row>
    <row r="438" spans="30:30" x14ac:dyDescent="0.35">
      <c r="AD438" t="s">
        <v>631</v>
      </c>
    </row>
    <row r="439" spans="30:30" x14ac:dyDescent="0.35">
      <c r="AD439" t="s">
        <v>632</v>
      </c>
    </row>
    <row r="440" spans="30:30" x14ac:dyDescent="0.35">
      <c r="AD440" t="s">
        <v>633</v>
      </c>
    </row>
    <row r="441" spans="30:30" x14ac:dyDescent="0.35">
      <c r="AD441" t="s">
        <v>634</v>
      </c>
    </row>
    <row r="442" spans="30:30" x14ac:dyDescent="0.35">
      <c r="AD442" t="s">
        <v>635</v>
      </c>
    </row>
    <row r="443" spans="30:30" x14ac:dyDescent="0.35">
      <c r="AD443" t="s">
        <v>636</v>
      </c>
    </row>
    <row r="444" spans="30:30" x14ac:dyDescent="0.35">
      <c r="AD444" t="s">
        <v>637</v>
      </c>
    </row>
    <row r="445" spans="30:30" x14ac:dyDescent="0.35">
      <c r="AD445" t="s">
        <v>638</v>
      </c>
    </row>
    <row r="446" spans="30:30" x14ac:dyDescent="0.35">
      <c r="AD446" t="s">
        <v>639</v>
      </c>
    </row>
    <row r="447" spans="30:30" x14ac:dyDescent="0.35">
      <c r="AD447" t="s">
        <v>640</v>
      </c>
    </row>
    <row r="448" spans="30:30" x14ac:dyDescent="0.35">
      <c r="AD448" t="s">
        <v>641</v>
      </c>
    </row>
    <row r="449" spans="30:30" x14ac:dyDescent="0.35">
      <c r="AD449" t="s">
        <v>642</v>
      </c>
    </row>
    <row r="450" spans="30:30" x14ac:dyDescent="0.35">
      <c r="AD450" t="s">
        <v>643</v>
      </c>
    </row>
    <row r="451" spans="30:30" x14ac:dyDescent="0.35">
      <c r="AD451" t="s">
        <v>644</v>
      </c>
    </row>
    <row r="452" spans="30:30" x14ac:dyDescent="0.35">
      <c r="AD452" t="s">
        <v>645</v>
      </c>
    </row>
    <row r="453" spans="30:30" x14ac:dyDescent="0.35">
      <c r="AD453" t="s">
        <v>646</v>
      </c>
    </row>
    <row r="454" spans="30:30" x14ac:dyDescent="0.35">
      <c r="AD454" t="s">
        <v>647</v>
      </c>
    </row>
    <row r="455" spans="30:30" x14ac:dyDescent="0.35">
      <c r="AD455" t="s">
        <v>648</v>
      </c>
    </row>
    <row r="456" spans="30:30" x14ac:dyDescent="0.35">
      <c r="AD456" t="s">
        <v>649</v>
      </c>
    </row>
    <row r="457" spans="30:30" x14ac:dyDescent="0.35">
      <c r="AD457" t="s">
        <v>650</v>
      </c>
    </row>
    <row r="458" spans="30:30" x14ac:dyDescent="0.35">
      <c r="AD458" t="s">
        <v>651</v>
      </c>
    </row>
    <row r="459" spans="30:30" x14ac:dyDescent="0.35">
      <c r="AD459" t="s">
        <v>652</v>
      </c>
    </row>
    <row r="460" spans="30:30" x14ac:dyDescent="0.35">
      <c r="AD460" t="s">
        <v>653</v>
      </c>
    </row>
    <row r="461" spans="30:30" x14ac:dyDescent="0.35">
      <c r="AD461" t="s">
        <v>654</v>
      </c>
    </row>
    <row r="462" spans="30:30" x14ac:dyDescent="0.35">
      <c r="AD462" t="s">
        <v>655</v>
      </c>
    </row>
    <row r="463" spans="30:30" x14ac:dyDescent="0.35">
      <c r="AD463" t="s">
        <v>656</v>
      </c>
    </row>
    <row r="464" spans="30:30" x14ac:dyDescent="0.35">
      <c r="AD464" t="s">
        <v>657</v>
      </c>
    </row>
    <row r="465" spans="30:30" x14ac:dyDescent="0.35">
      <c r="AD465" t="s">
        <v>658</v>
      </c>
    </row>
    <row r="466" spans="30:30" x14ac:dyDescent="0.35">
      <c r="AD466" t="s">
        <v>659</v>
      </c>
    </row>
    <row r="467" spans="30:30" x14ac:dyDescent="0.35">
      <c r="AD467" t="s">
        <v>660</v>
      </c>
    </row>
    <row r="468" spans="30:30" x14ac:dyDescent="0.35">
      <c r="AD468" t="s">
        <v>661</v>
      </c>
    </row>
    <row r="469" spans="30:30" x14ac:dyDescent="0.35">
      <c r="AD469" t="s">
        <v>662</v>
      </c>
    </row>
    <row r="470" spans="30:30" x14ac:dyDescent="0.35">
      <c r="AD470" t="s">
        <v>663</v>
      </c>
    </row>
    <row r="471" spans="30:30" x14ac:dyDescent="0.35">
      <c r="AD471" t="s">
        <v>664</v>
      </c>
    </row>
    <row r="472" spans="30:30" x14ac:dyDescent="0.35">
      <c r="AD472" t="s">
        <v>665</v>
      </c>
    </row>
    <row r="473" spans="30:30" x14ac:dyDescent="0.35">
      <c r="AD473" t="s">
        <v>666</v>
      </c>
    </row>
    <row r="474" spans="30:30" x14ac:dyDescent="0.35">
      <c r="AD474" t="s">
        <v>667</v>
      </c>
    </row>
    <row r="475" spans="30:30" x14ac:dyDescent="0.35">
      <c r="AD475" t="s">
        <v>668</v>
      </c>
    </row>
    <row r="476" spans="30:30" x14ac:dyDescent="0.35">
      <c r="AD476" t="s">
        <v>669</v>
      </c>
    </row>
    <row r="477" spans="30:30" x14ac:dyDescent="0.35">
      <c r="AD477" t="s">
        <v>670</v>
      </c>
    </row>
    <row r="478" spans="30:30" x14ac:dyDescent="0.35">
      <c r="AD478" t="s">
        <v>671</v>
      </c>
    </row>
    <row r="479" spans="30:30" x14ac:dyDescent="0.35">
      <c r="AD479" t="s">
        <v>672</v>
      </c>
    </row>
    <row r="480" spans="30:30" x14ac:dyDescent="0.35">
      <c r="AD480" t="s">
        <v>673</v>
      </c>
    </row>
    <row r="481" spans="30:30" x14ac:dyDescent="0.35">
      <c r="AD481" t="s">
        <v>674</v>
      </c>
    </row>
    <row r="482" spans="30:30" x14ac:dyDescent="0.35">
      <c r="AD482" t="s">
        <v>675</v>
      </c>
    </row>
    <row r="483" spans="30:30" x14ac:dyDescent="0.35">
      <c r="AD483" t="s">
        <v>676</v>
      </c>
    </row>
    <row r="484" spans="30:30" x14ac:dyDescent="0.35">
      <c r="AD484" t="s">
        <v>677</v>
      </c>
    </row>
    <row r="485" spans="30:30" x14ac:dyDescent="0.35">
      <c r="AD485" t="s">
        <v>678</v>
      </c>
    </row>
    <row r="486" spans="30:30" x14ac:dyDescent="0.35">
      <c r="AD486" t="s">
        <v>679</v>
      </c>
    </row>
    <row r="487" spans="30:30" x14ac:dyDescent="0.35">
      <c r="AD487" t="s">
        <v>680</v>
      </c>
    </row>
    <row r="488" spans="30:30" x14ac:dyDescent="0.35">
      <c r="AD488" t="s">
        <v>681</v>
      </c>
    </row>
    <row r="489" spans="30:30" x14ac:dyDescent="0.35">
      <c r="AD489" t="s">
        <v>682</v>
      </c>
    </row>
    <row r="490" spans="30:30" x14ac:dyDescent="0.35">
      <c r="AD490" t="s">
        <v>683</v>
      </c>
    </row>
    <row r="491" spans="30:30" x14ac:dyDescent="0.35">
      <c r="AD491" t="s">
        <v>684</v>
      </c>
    </row>
    <row r="492" spans="30:30" x14ac:dyDescent="0.35">
      <c r="AD492" t="s">
        <v>685</v>
      </c>
    </row>
    <row r="493" spans="30:30" x14ac:dyDescent="0.35">
      <c r="AD493" t="s">
        <v>686</v>
      </c>
    </row>
    <row r="494" spans="30:30" x14ac:dyDescent="0.35">
      <c r="AD494" t="s">
        <v>687</v>
      </c>
    </row>
    <row r="495" spans="30:30" x14ac:dyDescent="0.35">
      <c r="AD495" t="s">
        <v>688</v>
      </c>
    </row>
    <row r="496" spans="30:30" x14ac:dyDescent="0.35">
      <c r="AD496" t="s">
        <v>689</v>
      </c>
    </row>
    <row r="497" spans="30:30" x14ac:dyDescent="0.35">
      <c r="AD497" t="s">
        <v>690</v>
      </c>
    </row>
    <row r="498" spans="30:30" x14ac:dyDescent="0.35">
      <c r="AD498" t="s">
        <v>691</v>
      </c>
    </row>
    <row r="499" spans="30:30" x14ac:dyDescent="0.35">
      <c r="AD499" t="s">
        <v>692</v>
      </c>
    </row>
    <row r="500" spans="30:30" x14ac:dyDescent="0.35">
      <c r="AD500" t="s">
        <v>693</v>
      </c>
    </row>
    <row r="501" spans="30:30" x14ac:dyDescent="0.35">
      <c r="AD501" t="s">
        <v>694</v>
      </c>
    </row>
    <row r="502" spans="30:30" x14ac:dyDescent="0.35">
      <c r="AD502" t="s">
        <v>695</v>
      </c>
    </row>
    <row r="503" spans="30:30" x14ac:dyDescent="0.35">
      <c r="AD503" t="s">
        <v>696</v>
      </c>
    </row>
    <row r="504" spans="30:30" x14ac:dyDescent="0.35">
      <c r="AD504" t="s">
        <v>697</v>
      </c>
    </row>
    <row r="505" spans="30:30" x14ac:dyDescent="0.35">
      <c r="AD505" t="s">
        <v>698</v>
      </c>
    </row>
    <row r="506" spans="30:30" x14ac:dyDescent="0.35">
      <c r="AD506" t="s">
        <v>699</v>
      </c>
    </row>
    <row r="507" spans="30:30" x14ac:dyDescent="0.35">
      <c r="AD507" t="s">
        <v>700</v>
      </c>
    </row>
    <row r="508" spans="30:30" x14ac:dyDescent="0.35">
      <c r="AD508" t="s">
        <v>701</v>
      </c>
    </row>
    <row r="509" spans="30:30" x14ac:dyDescent="0.35">
      <c r="AD509" t="s">
        <v>702</v>
      </c>
    </row>
    <row r="510" spans="30:30" x14ac:dyDescent="0.35">
      <c r="AD510" t="s">
        <v>703</v>
      </c>
    </row>
    <row r="511" spans="30:30" x14ac:dyDescent="0.35">
      <c r="AD511" t="s">
        <v>704</v>
      </c>
    </row>
    <row r="512" spans="30:30" x14ac:dyDescent="0.35">
      <c r="AD512" t="s">
        <v>705</v>
      </c>
    </row>
    <row r="513" spans="30:30" x14ac:dyDescent="0.35">
      <c r="AD513" t="s">
        <v>706</v>
      </c>
    </row>
    <row r="514" spans="30:30" x14ac:dyDescent="0.35">
      <c r="AD514" t="s">
        <v>707</v>
      </c>
    </row>
    <row r="515" spans="30:30" x14ac:dyDescent="0.35">
      <c r="AD515" t="s">
        <v>708</v>
      </c>
    </row>
    <row r="516" spans="30:30" x14ac:dyDescent="0.35">
      <c r="AD516" t="s">
        <v>709</v>
      </c>
    </row>
    <row r="517" spans="30:30" x14ac:dyDescent="0.35">
      <c r="AD517" t="s">
        <v>710</v>
      </c>
    </row>
    <row r="518" spans="30:30" x14ac:dyDescent="0.35">
      <c r="AD518" t="s">
        <v>711</v>
      </c>
    </row>
    <row r="519" spans="30:30" x14ac:dyDescent="0.35">
      <c r="AD519" t="s">
        <v>712</v>
      </c>
    </row>
    <row r="520" spans="30:30" x14ac:dyDescent="0.35">
      <c r="AD520" t="s">
        <v>713</v>
      </c>
    </row>
    <row r="521" spans="30:30" x14ac:dyDescent="0.35">
      <c r="AD521" t="s">
        <v>714</v>
      </c>
    </row>
    <row r="522" spans="30:30" x14ac:dyDescent="0.35">
      <c r="AD522" t="s">
        <v>715</v>
      </c>
    </row>
    <row r="523" spans="30:30" x14ac:dyDescent="0.35">
      <c r="AD523" t="s">
        <v>716</v>
      </c>
    </row>
    <row r="524" spans="30:30" x14ac:dyDescent="0.35">
      <c r="AD524" t="s">
        <v>717</v>
      </c>
    </row>
    <row r="525" spans="30:30" x14ac:dyDescent="0.35">
      <c r="AD525" t="s">
        <v>718</v>
      </c>
    </row>
    <row r="526" spans="30:30" x14ac:dyDescent="0.35">
      <c r="AD526" t="s">
        <v>719</v>
      </c>
    </row>
    <row r="527" spans="30:30" x14ac:dyDescent="0.35">
      <c r="AD527" t="s">
        <v>720</v>
      </c>
    </row>
    <row r="528" spans="30:30" x14ac:dyDescent="0.35">
      <c r="AD528" t="s">
        <v>721</v>
      </c>
    </row>
    <row r="529" spans="30:30" x14ac:dyDescent="0.35">
      <c r="AD529" t="s">
        <v>722</v>
      </c>
    </row>
    <row r="530" spans="30:30" x14ac:dyDescent="0.35">
      <c r="AD530" t="s">
        <v>723</v>
      </c>
    </row>
    <row r="531" spans="30:30" x14ac:dyDescent="0.35">
      <c r="AD531" t="s">
        <v>724</v>
      </c>
    </row>
    <row r="532" spans="30:30" x14ac:dyDescent="0.35">
      <c r="AD532" t="s">
        <v>725</v>
      </c>
    </row>
    <row r="533" spans="30:30" x14ac:dyDescent="0.35">
      <c r="AD533" t="s">
        <v>726</v>
      </c>
    </row>
    <row r="534" spans="30:30" x14ac:dyDescent="0.35">
      <c r="AD534" t="s">
        <v>727</v>
      </c>
    </row>
    <row r="535" spans="30:30" x14ac:dyDescent="0.35">
      <c r="AD535" t="s">
        <v>728</v>
      </c>
    </row>
    <row r="536" spans="30:30" x14ac:dyDescent="0.35">
      <c r="AD536" t="s">
        <v>729</v>
      </c>
    </row>
    <row r="537" spans="30:30" x14ac:dyDescent="0.35">
      <c r="AD537" t="s">
        <v>730</v>
      </c>
    </row>
    <row r="538" spans="30:30" x14ac:dyDescent="0.35">
      <c r="AD538" t="s">
        <v>731</v>
      </c>
    </row>
    <row r="539" spans="30:30" x14ac:dyDescent="0.35">
      <c r="AD539" t="s">
        <v>732</v>
      </c>
    </row>
    <row r="540" spans="30:30" x14ac:dyDescent="0.35">
      <c r="AD540" t="s">
        <v>733</v>
      </c>
    </row>
    <row r="541" spans="30:30" x14ac:dyDescent="0.35">
      <c r="AD541" t="s">
        <v>734</v>
      </c>
    </row>
    <row r="542" spans="30:30" x14ac:dyDescent="0.35">
      <c r="AD542" t="s">
        <v>735</v>
      </c>
    </row>
    <row r="543" spans="30:30" x14ac:dyDescent="0.35">
      <c r="AD543" t="s">
        <v>736</v>
      </c>
    </row>
    <row r="544" spans="30:30" x14ac:dyDescent="0.35">
      <c r="AD544" t="s">
        <v>737</v>
      </c>
    </row>
    <row r="545" spans="30:30" x14ac:dyDescent="0.35">
      <c r="AD545" t="s">
        <v>738</v>
      </c>
    </row>
    <row r="546" spans="30:30" x14ac:dyDescent="0.35">
      <c r="AD546" t="s">
        <v>739</v>
      </c>
    </row>
    <row r="547" spans="30:30" x14ac:dyDescent="0.35">
      <c r="AD547" t="s">
        <v>740</v>
      </c>
    </row>
    <row r="548" spans="30:30" x14ac:dyDescent="0.35">
      <c r="AD548" t="s">
        <v>741</v>
      </c>
    </row>
    <row r="549" spans="30:30" x14ac:dyDescent="0.35">
      <c r="AD549" t="s">
        <v>742</v>
      </c>
    </row>
    <row r="550" spans="30:30" x14ac:dyDescent="0.35">
      <c r="AD550" t="s">
        <v>743</v>
      </c>
    </row>
    <row r="551" spans="30:30" x14ac:dyDescent="0.35">
      <c r="AD551" t="s">
        <v>744</v>
      </c>
    </row>
    <row r="552" spans="30:30" x14ac:dyDescent="0.35">
      <c r="AD552" t="s">
        <v>745</v>
      </c>
    </row>
    <row r="553" spans="30:30" x14ac:dyDescent="0.35">
      <c r="AD553" t="s">
        <v>746</v>
      </c>
    </row>
    <row r="554" spans="30:30" x14ac:dyDescent="0.35">
      <c r="AD554" t="s">
        <v>747</v>
      </c>
    </row>
    <row r="555" spans="30:30" x14ac:dyDescent="0.35">
      <c r="AD555" t="s">
        <v>748</v>
      </c>
    </row>
    <row r="556" spans="30:30" x14ac:dyDescent="0.35">
      <c r="AD556" t="s">
        <v>749</v>
      </c>
    </row>
    <row r="557" spans="30:30" x14ac:dyDescent="0.35">
      <c r="AD557" t="s">
        <v>750</v>
      </c>
    </row>
    <row r="558" spans="30:30" x14ac:dyDescent="0.35">
      <c r="AD558" t="s">
        <v>751</v>
      </c>
    </row>
    <row r="559" spans="30:30" x14ac:dyDescent="0.35">
      <c r="AD559" t="s">
        <v>752</v>
      </c>
    </row>
    <row r="560" spans="30:30" x14ac:dyDescent="0.35">
      <c r="AD560" t="s">
        <v>753</v>
      </c>
    </row>
    <row r="561" spans="30:30" x14ac:dyDescent="0.35">
      <c r="AD561" t="s">
        <v>754</v>
      </c>
    </row>
    <row r="562" spans="30:30" x14ac:dyDescent="0.35">
      <c r="AD562" t="s">
        <v>755</v>
      </c>
    </row>
    <row r="563" spans="30:30" x14ac:dyDescent="0.35">
      <c r="AD563" t="s">
        <v>756</v>
      </c>
    </row>
    <row r="564" spans="30:30" x14ac:dyDescent="0.35">
      <c r="AD564" t="s">
        <v>757</v>
      </c>
    </row>
    <row r="565" spans="30:30" x14ac:dyDescent="0.35">
      <c r="AD565" t="s">
        <v>758</v>
      </c>
    </row>
    <row r="566" spans="30:30" x14ac:dyDescent="0.35">
      <c r="AD566" t="s">
        <v>759</v>
      </c>
    </row>
    <row r="567" spans="30:30" x14ac:dyDescent="0.35">
      <c r="AD567" t="s">
        <v>760</v>
      </c>
    </row>
    <row r="568" spans="30:30" x14ac:dyDescent="0.35">
      <c r="AD568" t="s">
        <v>761</v>
      </c>
    </row>
    <row r="569" spans="30:30" x14ac:dyDescent="0.35">
      <c r="AD569" t="s">
        <v>762</v>
      </c>
    </row>
    <row r="570" spans="30:30" x14ac:dyDescent="0.35">
      <c r="AD570" t="s">
        <v>763</v>
      </c>
    </row>
    <row r="571" spans="30:30" x14ac:dyDescent="0.35">
      <c r="AD571" t="s">
        <v>764</v>
      </c>
    </row>
    <row r="572" spans="30:30" x14ac:dyDescent="0.35">
      <c r="AD572" t="s">
        <v>765</v>
      </c>
    </row>
    <row r="573" spans="30:30" x14ac:dyDescent="0.35">
      <c r="AD573" t="s">
        <v>766</v>
      </c>
    </row>
    <row r="574" spans="30:30" x14ac:dyDescent="0.35">
      <c r="AD574" t="s">
        <v>767</v>
      </c>
    </row>
    <row r="575" spans="30:30" x14ac:dyDescent="0.35">
      <c r="AD575" t="s">
        <v>768</v>
      </c>
    </row>
    <row r="576" spans="30:30" x14ac:dyDescent="0.35">
      <c r="AD576" t="s">
        <v>769</v>
      </c>
    </row>
    <row r="577" spans="30:30" x14ac:dyDescent="0.35">
      <c r="AD577" t="s">
        <v>770</v>
      </c>
    </row>
    <row r="578" spans="30:30" x14ac:dyDescent="0.35">
      <c r="AD578" t="s">
        <v>771</v>
      </c>
    </row>
    <row r="579" spans="30:30" x14ac:dyDescent="0.35">
      <c r="AD579" t="s">
        <v>772</v>
      </c>
    </row>
    <row r="580" spans="30:30" x14ac:dyDescent="0.35">
      <c r="AD580" t="s">
        <v>773</v>
      </c>
    </row>
    <row r="581" spans="30:30" x14ac:dyDescent="0.35">
      <c r="AD581" t="s">
        <v>774</v>
      </c>
    </row>
    <row r="582" spans="30:30" x14ac:dyDescent="0.35">
      <c r="AD582" t="s">
        <v>775</v>
      </c>
    </row>
    <row r="583" spans="30:30" x14ac:dyDescent="0.35">
      <c r="AD583" t="s">
        <v>776</v>
      </c>
    </row>
    <row r="584" spans="30:30" x14ac:dyDescent="0.35">
      <c r="AD584" t="s">
        <v>777</v>
      </c>
    </row>
    <row r="585" spans="30:30" x14ac:dyDescent="0.35">
      <c r="AD585" t="s">
        <v>778</v>
      </c>
    </row>
    <row r="586" spans="30:30" x14ac:dyDescent="0.35">
      <c r="AD586" t="s">
        <v>779</v>
      </c>
    </row>
    <row r="587" spans="30:30" x14ac:dyDescent="0.35">
      <c r="AD587" t="s">
        <v>780</v>
      </c>
    </row>
    <row r="588" spans="30:30" x14ac:dyDescent="0.35">
      <c r="AD588" t="s">
        <v>781</v>
      </c>
    </row>
    <row r="589" spans="30:30" x14ac:dyDescent="0.35">
      <c r="AD589" t="s">
        <v>782</v>
      </c>
    </row>
    <row r="590" spans="30:30" x14ac:dyDescent="0.35">
      <c r="AD590" t="s">
        <v>783</v>
      </c>
    </row>
    <row r="591" spans="30:30" x14ac:dyDescent="0.35">
      <c r="AD591" t="s">
        <v>784</v>
      </c>
    </row>
    <row r="592" spans="30:30" x14ac:dyDescent="0.35">
      <c r="AD592" t="s">
        <v>785</v>
      </c>
    </row>
    <row r="593" spans="30:30" x14ac:dyDescent="0.35">
      <c r="AD593" t="s">
        <v>786</v>
      </c>
    </row>
    <row r="594" spans="30:30" x14ac:dyDescent="0.35">
      <c r="AD594" t="s">
        <v>787</v>
      </c>
    </row>
    <row r="595" spans="30:30" x14ac:dyDescent="0.35">
      <c r="AD595" t="s">
        <v>788</v>
      </c>
    </row>
    <row r="596" spans="30:30" x14ac:dyDescent="0.35">
      <c r="AD596" t="s">
        <v>789</v>
      </c>
    </row>
    <row r="597" spans="30:30" x14ac:dyDescent="0.35">
      <c r="AD597" t="s">
        <v>790</v>
      </c>
    </row>
    <row r="598" spans="30:30" x14ac:dyDescent="0.35">
      <c r="AD598" t="s">
        <v>791</v>
      </c>
    </row>
    <row r="599" spans="30:30" x14ac:dyDescent="0.35">
      <c r="AD599" t="s">
        <v>792</v>
      </c>
    </row>
    <row r="600" spans="30:30" x14ac:dyDescent="0.35">
      <c r="AD600" t="s">
        <v>793</v>
      </c>
    </row>
    <row r="601" spans="30:30" x14ac:dyDescent="0.35">
      <c r="AD601" t="s">
        <v>794</v>
      </c>
    </row>
    <row r="602" spans="30:30" x14ac:dyDescent="0.35">
      <c r="AD602" t="s">
        <v>795</v>
      </c>
    </row>
    <row r="603" spans="30:30" x14ac:dyDescent="0.35">
      <c r="AD603" t="s">
        <v>796</v>
      </c>
    </row>
    <row r="604" spans="30:30" x14ac:dyDescent="0.35">
      <c r="AD604" t="s">
        <v>797</v>
      </c>
    </row>
    <row r="605" spans="30:30" x14ac:dyDescent="0.35">
      <c r="AD605" t="s">
        <v>798</v>
      </c>
    </row>
    <row r="606" spans="30:30" x14ac:dyDescent="0.35">
      <c r="AD606" t="s">
        <v>799</v>
      </c>
    </row>
    <row r="607" spans="30:30" x14ac:dyDescent="0.35">
      <c r="AD607" t="s">
        <v>800</v>
      </c>
    </row>
    <row r="608" spans="30:30" x14ac:dyDescent="0.35">
      <c r="AD608" t="s">
        <v>801</v>
      </c>
    </row>
    <row r="609" spans="30:30" x14ac:dyDescent="0.35">
      <c r="AD609" t="s">
        <v>802</v>
      </c>
    </row>
    <row r="610" spans="30:30" x14ac:dyDescent="0.35">
      <c r="AD610" t="s">
        <v>803</v>
      </c>
    </row>
    <row r="611" spans="30:30" x14ac:dyDescent="0.35">
      <c r="AD611" t="s">
        <v>804</v>
      </c>
    </row>
    <row r="612" spans="30:30" x14ac:dyDescent="0.35">
      <c r="AD612" t="s">
        <v>805</v>
      </c>
    </row>
    <row r="613" spans="30:30" x14ac:dyDescent="0.35">
      <c r="AD613" t="s">
        <v>806</v>
      </c>
    </row>
    <row r="614" spans="30:30" x14ac:dyDescent="0.35">
      <c r="AD614" t="s">
        <v>807</v>
      </c>
    </row>
    <row r="615" spans="30:30" x14ac:dyDescent="0.35">
      <c r="AD615" t="s">
        <v>808</v>
      </c>
    </row>
    <row r="616" spans="30:30" x14ac:dyDescent="0.35">
      <c r="AD616" t="s">
        <v>809</v>
      </c>
    </row>
    <row r="617" spans="30:30" x14ac:dyDescent="0.35">
      <c r="AD617" t="s">
        <v>810</v>
      </c>
    </row>
    <row r="618" spans="30:30" x14ac:dyDescent="0.35">
      <c r="AD618" t="s">
        <v>811</v>
      </c>
    </row>
    <row r="619" spans="30:30" x14ac:dyDescent="0.35">
      <c r="AD619" t="s">
        <v>812</v>
      </c>
    </row>
    <row r="620" spans="30:30" x14ac:dyDescent="0.35">
      <c r="AD620" t="s">
        <v>813</v>
      </c>
    </row>
    <row r="621" spans="30:30" x14ac:dyDescent="0.35">
      <c r="AD621" t="s">
        <v>814</v>
      </c>
    </row>
    <row r="622" spans="30:30" x14ac:dyDescent="0.35">
      <c r="AD622" t="s">
        <v>815</v>
      </c>
    </row>
    <row r="623" spans="30:30" x14ac:dyDescent="0.35">
      <c r="AD623" t="s">
        <v>816</v>
      </c>
    </row>
    <row r="624" spans="30:30" x14ac:dyDescent="0.35">
      <c r="AD624" t="s">
        <v>817</v>
      </c>
    </row>
    <row r="625" spans="30:30" x14ac:dyDescent="0.35">
      <c r="AD625" t="s">
        <v>818</v>
      </c>
    </row>
    <row r="626" spans="30:30" x14ac:dyDescent="0.35">
      <c r="AD626" t="s">
        <v>819</v>
      </c>
    </row>
    <row r="627" spans="30:30" x14ac:dyDescent="0.35">
      <c r="AD627" t="s">
        <v>820</v>
      </c>
    </row>
    <row r="628" spans="30:30" x14ac:dyDescent="0.35">
      <c r="AD628" t="s">
        <v>821</v>
      </c>
    </row>
    <row r="629" spans="30:30" x14ac:dyDescent="0.35">
      <c r="AD629" t="s">
        <v>822</v>
      </c>
    </row>
    <row r="630" spans="30:30" x14ac:dyDescent="0.35">
      <c r="AD630" t="s">
        <v>823</v>
      </c>
    </row>
    <row r="631" spans="30:30" x14ac:dyDescent="0.35">
      <c r="AD631" t="s">
        <v>824</v>
      </c>
    </row>
    <row r="632" spans="30:30" x14ac:dyDescent="0.35">
      <c r="AD632" t="s">
        <v>825</v>
      </c>
    </row>
    <row r="633" spans="30:30" x14ac:dyDescent="0.35">
      <c r="AD633" t="s">
        <v>826</v>
      </c>
    </row>
    <row r="634" spans="30:30" x14ac:dyDescent="0.35">
      <c r="AD634" t="s">
        <v>827</v>
      </c>
    </row>
    <row r="635" spans="30:30" x14ac:dyDescent="0.35">
      <c r="AD635" t="s">
        <v>828</v>
      </c>
    </row>
    <row r="636" spans="30:30" x14ac:dyDescent="0.35">
      <c r="AD636" t="s">
        <v>829</v>
      </c>
    </row>
    <row r="637" spans="30:30" x14ac:dyDescent="0.35">
      <c r="AD637" t="s">
        <v>830</v>
      </c>
    </row>
    <row r="638" spans="30:30" x14ac:dyDescent="0.35">
      <c r="AD638" t="s">
        <v>831</v>
      </c>
    </row>
    <row r="639" spans="30:30" x14ac:dyDescent="0.35">
      <c r="AD639" t="s">
        <v>832</v>
      </c>
    </row>
    <row r="640" spans="30:30" x14ac:dyDescent="0.35">
      <c r="AD640" t="s">
        <v>833</v>
      </c>
    </row>
    <row r="641" spans="30:30" x14ac:dyDescent="0.35">
      <c r="AD641" t="s">
        <v>834</v>
      </c>
    </row>
    <row r="642" spans="30:30" x14ac:dyDescent="0.35">
      <c r="AD642" t="s">
        <v>835</v>
      </c>
    </row>
    <row r="643" spans="30:30" x14ac:dyDescent="0.35">
      <c r="AD643" t="s">
        <v>836</v>
      </c>
    </row>
    <row r="644" spans="30:30" x14ac:dyDescent="0.35">
      <c r="AD644" t="s">
        <v>837</v>
      </c>
    </row>
    <row r="645" spans="30:30" x14ac:dyDescent="0.35">
      <c r="AD645" t="s">
        <v>838</v>
      </c>
    </row>
    <row r="646" spans="30:30" x14ac:dyDescent="0.35">
      <c r="AD646" t="s">
        <v>839</v>
      </c>
    </row>
    <row r="647" spans="30:30" x14ac:dyDescent="0.35">
      <c r="AD647" t="s">
        <v>840</v>
      </c>
    </row>
    <row r="648" spans="30:30" x14ac:dyDescent="0.35">
      <c r="AD648" t="s">
        <v>841</v>
      </c>
    </row>
    <row r="649" spans="30:30" x14ac:dyDescent="0.35">
      <c r="AD649" t="s">
        <v>842</v>
      </c>
    </row>
    <row r="650" spans="30:30" x14ac:dyDescent="0.35">
      <c r="AD650" t="s">
        <v>843</v>
      </c>
    </row>
    <row r="651" spans="30:30" x14ac:dyDescent="0.35">
      <c r="AD651" t="s">
        <v>844</v>
      </c>
    </row>
    <row r="652" spans="30:30" x14ac:dyDescent="0.35">
      <c r="AD652" t="s">
        <v>845</v>
      </c>
    </row>
    <row r="653" spans="30:30" x14ac:dyDescent="0.35">
      <c r="AD653" t="s">
        <v>846</v>
      </c>
    </row>
    <row r="654" spans="30:30" x14ac:dyDescent="0.35">
      <c r="AD654" t="s">
        <v>847</v>
      </c>
    </row>
    <row r="655" spans="30:30" x14ac:dyDescent="0.35">
      <c r="AD655" t="s">
        <v>848</v>
      </c>
    </row>
    <row r="656" spans="30:30" x14ac:dyDescent="0.35">
      <c r="AD656" t="s">
        <v>849</v>
      </c>
    </row>
    <row r="657" spans="30:30" x14ac:dyDescent="0.35">
      <c r="AD657" t="s">
        <v>850</v>
      </c>
    </row>
    <row r="658" spans="30:30" x14ac:dyDescent="0.35">
      <c r="AD658" t="s">
        <v>851</v>
      </c>
    </row>
    <row r="659" spans="30:30" x14ac:dyDescent="0.35">
      <c r="AD659" t="s">
        <v>852</v>
      </c>
    </row>
    <row r="660" spans="30:30" x14ac:dyDescent="0.35">
      <c r="AD660" t="s">
        <v>853</v>
      </c>
    </row>
    <row r="661" spans="30:30" x14ac:dyDescent="0.35">
      <c r="AD661" t="s">
        <v>854</v>
      </c>
    </row>
    <row r="662" spans="30:30" x14ac:dyDescent="0.35">
      <c r="AD662" t="s">
        <v>855</v>
      </c>
    </row>
    <row r="663" spans="30:30" x14ac:dyDescent="0.35">
      <c r="AD663" t="s">
        <v>856</v>
      </c>
    </row>
    <row r="664" spans="30:30" x14ac:dyDescent="0.35">
      <c r="AD664" t="s">
        <v>857</v>
      </c>
    </row>
    <row r="665" spans="30:30" x14ac:dyDescent="0.35">
      <c r="AD665" t="s">
        <v>858</v>
      </c>
    </row>
    <row r="666" spans="30:30" x14ac:dyDescent="0.35">
      <c r="AD666" t="s">
        <v>859</v>
      </c>
    </row>
    <row r="667" spans="30:30" x14ac:dyDescent="0.35">
      <c r="AD667" t="s">
        <v>860</v>
      </c>
    </row>
    <row r="668" spans="30:30" x14ac:dyDescent="0.35">
      <c r="AD668" t="s">
        <v>861</v>
      </c>
    </row>
    <row r="669" spans="30:30" x14ac:dyDescent="0.35">
      <c r="AD669" t="s">
        <v>862</v>
      </c>
    </row>
    <row r="670" spans="30:30" x14ac:dyDescent="0.35">
      <c r="AD670" t="s">
        <v>863</v>
      </c>
    </row>
    <row r="671" spans="30:30" x14ac:dyDescent="0.35">
      <c r="AD671" t="s">
        <v>864</v>
      </c>
    </row>
    <row r="672" spans="30:30" x14ac:dyDescent="0.35">
      <c r="AD672" t="s">
        <v>865</v>
      </c>
    </row>
    <row r="673" spans="30:30" x14ac:dyDescent="0.35">
      <c r="AD673" t="s">
        <v>866</v>
      </c>
    </row>
    <row r="674" spans="30:30" x14ac:dyDescent="0.35">
      <c r="AD674" t="s">
        <v>867</v>
      </c>
    </row>
    <row r="675" spans="30:30" x14ac:dyDescent="0.35">
      <c r="AD675" t="s">
        <v>868</v>
      </c>
    </row>
    <row r="676" spans="30:30" x14ac:dyDescent="0.35">
      <c r="AD676" t="s">
        <v>869</v>
      </c>
    </row>
    <row r="677" spans="30:30" x14ac:dyDescent="0.35">
      <c r="AD677" t="s">
        <v>870</v>
      </c>
    </row>
    <row r="678" spans="30:30" x14ac:dyDescent="0.35">
      <c r="AD678" t="s">
        <v>871</v>
      </c>
    </row>
    <row r="679" spans="30:30" x14ac:dyDescent="0.35">
      <c r="AD679" t="s">
        <v>872</v>
      </c>
    </row>
    <row r="680" spans="30:30" x14ac:dyDescent="0.35">
      <c r="AD680" t="s">
        <v>873</v>
      </c>
    </row>
    <row r="681" spans="30:30" x14ac:dyDescent="0.35">
      <c r="AD681" t="s">
        <v>874</v>
      </c>
    </row>
    <row r="682" spans="30:30" x14ac:dyDescent="0.35">
      <c r="AD682" t="s">
        <v>875</v>
      </c>
    </row>
    <row r="683" spans="30:30" x14ac:dyDescent="0.35">
      <c r="AD683" t="s">
        <v>876</v>
      </c>
    </row>
    <row r="684" spans="30:30" x14ac:dyDescent="0.35">
      <c r="AD684" t="s">
        <v>877</v>
      </c>
    </row>
    <row r="685" spans="30:30" x14ac:dyDescent="0.35">
      <c r="AD685" t="s">
        <v>878</v>
      </c>
    </row>
    <row r="686" spans="30:30" x14ac:dyDescent="0.35">
      <c r="AD686" t="s">
        <v>879</v>
      </c>
    </row>
    <row r="687" spans="30:30" x14ac:dyDescent="0.35">
      <c r="AD687" t="s">
        <v>880</v>
      </c>
    </row>
    <row r="688" spans="30:30" x14ac:dyDescent="0.35">
      <c r="AD688" t="s">
        <v>881</v>
      </c>
    </row>
    <row r="689" spans="30:30" x14ac:dyDescent="0.35">
      <c r="AD689" t="s">
        <v>882</v>
      </c>
    </row>
    <row r="690" spans="30:30" x14ac:dyDescent="0.35">
      <c r="AD690" t="s">
        <v>883</v>
      </c>
    </row>
    <row r="691" spans="30:30" x14ac:dyDescent="0.35">
      <c r="AD691" t="s">
        <v>884</v>
      </c>
    </row>
    <row r="692" spans="30:30" x14ac:dyDescent="0.35">
      <c r="AD692" t="s">
        <v>885</v>
      </c>
    </row>
    <row r="693" spans="30:30" x14ac:dyDescent="0.35">
      <c r="AD693" t="s">
        <v>886</v>
      </c>
    </row>
    <row r="694" spans="30:30" x14ac:dyDescent="0.35">
      <c r="AD694" t="s">
        <v>887</v>
      </c>
    </row>
    <row r="695" spans="30:30" x14ac:dyDescent="0.35">
      <c r="AD695" t="s">
        <v>888</v>
      </c>
    </row>
    <row r="696" spans="30:30" x14ac:dyDescent="0.35">
      <c r="AD696" t="s">
        <v>889</v>
      </c>
    </row>
    <row r="697" spans="30:30" x14ac:dyDescent="0.35">
      <c r="AD697" t="s">
        <v>890</v>
      </c>
    </row>
    <row r="698" spans="30:30" x14ac:dyDescent="0.35">
      <c r="AD698" t="s">
        <v>891</v>
      </c>
    </row>
    <row r="699" spans="30:30" x14ac:dyDescent="0.35">
      <c r="AD699" t="s">
        <v>892</v>
      </c>
    </row>
    <row r="700" spans="30:30" x14ac:dyDescent="0.35">
      <c r="AD700" t="s">
        <v>893</v>
      </c>
    </row>
    <row r="701" spans="30:30" x14ac:dyDescent="0.35">
      <c r="AD701" t="s">
        <v>894</v>
      </c>
    </row>
    <row r="702" spans="30:30" x14ac:dyDescent="0.35">
      <c r="AD702" t="s">
        <v>895</v>
      </c>
    </row>
    <row r="703" spans="30:30" x14ac:dyDescent="0.35">
      <c r="AD703" t="s">
        <v>896</v>
      </c>
    </row>
    <row r="704" spans="30:30" x14ac:dyDescent="0.35">
      <c r="AD704" t="s">
        <v>897</v>
      </c>
    </row>
    <row r="705" spans="30:30" x14ac:dyDescent="0.35">
      <c r="AD705" t="s">
        <v>898</v>
      </c>
    </row>
    <row r="706" spans="30:30" x14ac:dyDescent="0.35">
      <c r="AD706" t="s">
        <v>899</v>
      </c>
    </row>
    <row r="707" spans="30:30" x14ac:dyDescent="0.35">
      <c r="AD707" t="s">
        <v>900</v>
      </c>
    </row>
    <row r="708" spans="30:30" x14ac:dyDescent="0.35">
      <c r="AD708" t="s">
        <v>901</v>
      </c>
    </row>
    <row r="709" spans="30:30" x14ac:dyDescent="0.35">
      <c r="AD709" t="s">
        <v>902</v>
      </c>
    </row>
    <row r="710" spans="30:30" x14ac:dyDescent="0.35">
      <c r="AD710" t="s">
        <v>903</v>
      </c>
    </row>
    <row r="711" spans="30:30" x14ac:dyDescent="0.35">
      <c r="AD711" t="s">
        <v>904</v>
      </c>
    </row>
    <row r="712" spans="30:30" x14ac:dyDescent="0.35">
      <c r="AD712" t="s">
        <v>905</v>
      </c>
    </row>
    <row r="713" spans="30:30" x14ac:dyDescent="0.35">
      <c r="AD713" t="s">
        <v>906</v>
      </c>
    </row>
    <row r="714" spans="30:30" x14ac:dyDescent="0.35">
      <c r="AD714" t="s">
        <v>907</v>
      </c>
    </row>
    <row r="715" spans="30:30" x14ac:dyDescent="0.35">
      <c r="AD715" t="s">
        <v>908</v>
      </c>
    </row>
    <row r="716" spans="30:30" x14ac:dyDescent="0.35">
      <c r="AD716" t="s">
        <v>909</v>
      </c>
    </row>
    <row r="717" spans="30:30" x14ac:dyDescent="0.35">
      <c r="AD717" t="s">
        <v>910</v>
      </c>
    </row>
    <row r="718" spans="30:30" x14ac:dyDescent="0.35">
      <c r="AD718" t="s">
        <v>911</v>
      </c>
    </row>
    <row r="719" spans="30:30" x14ac:dyDescent="0.35">
      <c r="AD719" t="s">
        <v>912</v>
      </c>
    </row>
    <row r="720" spans="30:30" x14ac:dyDescent="0.35">
      <c r="AD720" t="s">
        <v>913</v>
      </c>
    </row>
    <row r="721" spans="30:30" x14ac:dyDescent="0.35">
      <c r="AD721" t="s">
        <v>914</v>
      </c>
    </row>
    <row r="722" spans="30:30" x14ac:dyDescent="0.35">
      <c r="AD722" t="s">
        <v>915</v>
      </c>
    </row>
    <row r="723" spans="30:30" x14ac:dyDescent="0.35">
      <c r="AD723" t="s">
        <v>916</v>
      </c>
    </row>
    <row r="724" spans="30:30" x14ac:dyDescent="0.35">
      <c r="AD724" t="s">
        <v>917</v>
      </c>
    </row>
  </sheetData>
  <dataValidations count="22">
    <dataValidation type="list" errorStyle="warning" allowBlank="1" showErrorMessage="1" errorTitle="Invalid value" error="Select a value from the dropdown list." sqref="A10:A101">
      <formula1>"Sale Invoice,Debit Note"</formula1>
    </dataValidation>
    <dataValidation type="list" errorStyle="warning" allowBlank="1" showErrorMessage="1" errorTitle="Invalid value" error="Select a value from the dropdown list." sqref="A2:A101">
      <formula1>"Sale Invoice,Debit Note"</formula1>
    </dataValidation>
    <dataValidation type="list" allowBlank="1" showErrorMessage="1" sqref="F10:F101">
      <formula1>$Z$2:$Z$27</formula1>
    </dataValidation>
    <dataValidation type="list" allowBlank="1" showErrorMessage="1" sqref="F2:F101">
      <formula1>$Z$2:$Z$27</formula1>
    </dataValidation>
    <dataValidation type="list" errorStyle="warning" allowBlank="1" showErrorMessage="1" errorTitle="Invalid Rate" error="Select a valid rate from the dropdown list." sqref="G10:G101">
      <formula1>$AB$2:$AB$70</formula1>
    </dataValidation>
    <dataValidation type="list" errorStyle="warning" allowBlank="1" showErrorMessage="1" errorTitle="Invalid Rate" error="Select a valid rate from the dropdown list." sqref="G2:G101">
      <formula1>$AB$2:$AB$70</formula1>
    </dataValidation>
    <dataValidation type="list" errorStyle="warning" allowBlank="1" showErrorMessage="1" errorTitle="Invalid SRO Schedule" error="Select a valid SRO Schedule from the dropdown list." sqref="H10:H101">
      <formula1>$AC$2:$AC$25</formula1>
    </dataValidation>
    <dataValidation type="list" errorStyle="warning" allowBlank="1" showErrorMessage="1" errorTitle="Invalid SRO Schedule" error="Select a valid SRO Schedule from the dropdown list." sqref="H2:H101">
      <formula1>$AC$2:$AC$25</formula1>
    </dataValidation>
    <dataValidation type="list" errorStyle="warning" allowBlank="1" showErrorMessage="1" errorTitle="Invalid SRO Item" error="Select a valid SRO Item from the dropdown list." sqref="I10:I101">
      <formula1>$AD$2:$AD$724</formula1>
    </dataValidation>
    <dataValidation type="list" errorStyle="warning" allowBlank="1" showErrorMessage="1" errorTitle="Invalid SRO Item" error="Select a valid SRO Item from the dropdown list." sqref="I2:I101">
      <formula1>$AD$2:$AD$724</formula1>
    </dataValidation>
    <dataValidation type="list" errorStyle="warning" allowBlank="1" showErrorMessage="1" errorTitle="Invalid UoM" error="Select a valid Unit of Measurement from the dropdown list." sqref="K10:K101">
      <formula1>$AA$2:$AA$33</formula1>
    </dataValidation>
    <dataValidation type="list" errorStyle="warning" allowBlank="1" showErrorMessage="1" errorTitle="Invalid UoM" error="Select a valid Unit of Measurement from the dropdown list." sqref="K2:K101">
      <formula1>$AA$2:$AA$33</formula1>
    </dataValidation>
    <dataValidation type="decimal" errorStyle="warning" operator="greaterThan" allowBlank="1" showErrorMessage="1" errorTitle="Invalid Value (Excl. ST)" error="Value (Excl. ST) must be a positive number." sqref="M10:M101">
      <formula1>0</formula1>
    </dataValidation>
    <dataValidation type="decimal" errorStyle="warning" operator="greaterThan" allowBlank="1" showErrorMessage="1" errorTitle="Invalid Value (Excl. ST)" error="Value (Excl. ST) must be a positive number." sqref="M2:M101">
      <formula1>0</formula1>
    </dataValidation>
    <dataValidation type="decimal" errorStyle="warning" operator="greaterThan" allowBlank="1" showErrorMessage="1" errorTitle="Invalid Quantity" error="Quantity must be a positive number." sqref="N10:N101">
      <formula1>0</formula1>
    </dataValidation>
    <dataValidation type="decimal" errorStyle="warning" operator="greaterThan" allowBlank="1" showErrorMessage="1" errorTitle="Invalid Quantity" error="Quantity must be a positive number." sqref="N2:N101">
      <formula1>0</formula1>
    </dataValidation>
    <dataValidation type="decimal" errorStyle="warning" operator="greaterThanOrEqual" allowBlank="1" showErrorMessage="1" errorTitle="Invalid Extra Tax" error="Extra Tax must be a positive number." sqref="R10:R101">
      <formula1>0</formula1>
    </dataValidation>
    <dataValidation type="decimal" errorStyle="warning" operator="greaterThanOrEqual" allowBlank="1" showErrorMessage="1" errorTitle="Invalid Extra Tax" error="Extra Tax must be a positive number." sqref="R2:R101">
      <formula1>0</formula1>
    </dataValidation>
    <dataValidation type="decimal" errorStyle="warning" operator="greaterThanOrEqual" allowBlank="1" showErrorMessage="1" errorTitle="Invalid Advance Income Tax" error="Advance Income Tax must be a positive number." sqref="U10:U101">
      <formula1>0</formula1>
    </dataValidation>
    <dataValidation type="decimal" errorStyle="warning" operator="greaterThanOrEqual" allowBlank="1" showErrorMessage="1" errorTitle="Invalid Advance Income Tax" error="Advance Income Tax must be a positive number." sqref="U2:U101">
      <formula1>0</formula1>
    </dataValidation>
    <dataValidation type="decimal" errorStyle="warning" operator="greaterThanOrEqual" allowBlank="1" showErrorMessage="1" errorTitle="Invalid Discount" error="Discount must be a positive number (amount)." sqref="V10:V101">
      <formula1>0</formula1>
    </dataValidation>
    <dataValidation type="decimal" errorStyle="warning" operator="greaterThanOrEqual" allowBlank="1" showErrorMessage="1" errorTitle="Invalid Discount" error="Discount must be a positive number (amount)." sqref="V2:V101">
      <formula1>0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2026-01-19T13:09:26Z</dcterms:created>
  <dcterms:modified xsi:type="dcterms:W3CDTF">2026-01-19T14:05:16Z</dcterms:modified>
  <cp:category/>
</cp:coreProperties>
</file>